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Water levels Major" sheetId="1" state="visible" r:id="rId1"/>
    <sheet name="Water levels 18.01.2018 CE  (2)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Arial"/>
      <color rgb="FF000000"/>
      <sz val="10"/>
      <scheme val="minor"/>
    </font>
    <font>
      <name val="Arial"/>
      <b val="1"/>
      <color rgb="FF000000"/>
      <sz val="12"/>
    </font>
    <font>
      <name val="Arial"/>
      <color rgb="FF000000"/>
      <sz val="10"/>
    </font>
    <font>
      <name val="Arial"/>
      <b val="1"/>
      <color rgb="FF000000"/>
      <sz val="10"/>
    </font>
    <font>
      <name val="Arial"/>
      <sz val="10"/>
    </font>
    <font>
      <name val="Arial"/>
      <color rgb="FF000000"/>
      <sz val="12"/>
    </font>
    <font>
      <name val="Arial"/>
      <color rgb="FF000000"/>
      <sz val="11"/>
    </font>
    <font>
      <name val="Calibri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8"/>
  </cellStyleXfs>
  <cellXfs count="93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5" fillId="0" borderId="7" applyAlignment="1" pivotButton="0" quotePrefix="0" xfId="0">
      <alignment horizontal="left" vertical="center" wrapText="1"/>
    </xf>
    <xf numFmtId="2" fontId="2" fillId="0" borderId="7" applyAlignment="1" pivotButton="0" quotePrefix="0" xfId="0">
      <alignment horizontal="center" vertical="center" wrapText="1"/>
    </xf>
    <xf numFmtId="0" fontId="2" fillId="0" borderId="7" applyAlignment="1" pivotButton="0" quotePrefix="1" xfId="0">
      <alignment horizontal="center" vertical="center" wrapText="1"/>
    </xf>
    <xf numFmtId="164" fontId="2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center" vertical="center"/>
    </xf>
    <xf numFmtId="2" fontId="2" fillId="2" borderId="7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2" fontId="2" fillId="0" borderId="7" applyAlignment="1" pivotButton="0" quotePrefix="0" xfId="0">
      <alignment horizontal="center" vertical="center"/>
    </xf>
    <xf numFmtId="0" fontId="2" fillId="2" borderId="8" pivotButton="0" quotePrefix="0" xfId="0"/>
    <xf numFmtId="0" fontId="7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2" fillId="0" borderId="13" applyAlignment="1" pivotButton="0" quotePrefix="0" xfId="0">
      <alignment horizontal="center" vertical="center" wrapText="1"/>
    </xf>
    <xf numFmtId="2" fontId="2" fillId="0" borderId="14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vertical="center"/>
    </xf>
    <xf numFmtId="0" fontId="3" fillId="0" borderId="20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15" applyAlignment="1" pivotButton="0" quotePrefix="0" xfId="0">
      <alignment horizontal="right" wrapText="1"/>
    </xf>
    <xf numFmtId="0" fontId="2" fillId="0" borderId="8" applyAlignment="1" pivotButton="0" quotePrefix="0" xfId="0">
      <alignment horizontal="right" wrapText="1"/>
    </xf>
    <xf numFmtId="0" fontId="2" fillId="0" borderId="16" applyAlignment="1" pivotButton="0" quotePrefix="0" xfId="0">
      <alignment horizontal="right" wrapText="1"/>
    </xf>
    <xf numFmtId="0" fontId="2" fillId="0" borderId="17" applyAlignment="1" pivotButton="0" quotePrefix="0" xfId="0">
      <alignment horizontal="right" wrapText="1"/>
    </xf>
    <xf numFmtId="0" fontId="2" fillId="0" borderId="18" applyAlignment="1" pivotButton="0" quotePrefix="0" xfId="0">
      <alignment horizontal="right" wrapText="1"/>
    </xf>
    <xf numFmtId="0" fontId="2" fillId="0" borderId="19" applyAlignment="1" pivotButton="0" quotePrefix="0" xfId="0">
      <alignment horizontal="right" wrapText="1"/>
    </xf>
    <xf numFmtId="0" fontId="2" fillId="0" borderId="2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/>
    </xf>
    <xf numFmtId="2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1" xfId="0">
      <alignment horizontal="center" vertical="center" wrapText="1"/>
    </xf>
    <xf numFmtId="164" fontId="2" fillId="0" borderId="6" applyAlignment="1" pivotButton="0" quotePrefix="0" xfId="0">
      <alignment horizontal="center" vertical="center" wrapText="1"/>
    </xf>
    <xf numFmtId="2" fontId="2" fillId="0" borderId="26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1" xfId="0">
      <alignment horizontal="center" vertical="center" wrapText="1"/>
    </xf>
    <xf numFmtId="2" fontId="2" fillId="0" borderId="10" applyAlignment="1" pivotButton="0" quotePrefix="0" xfId="0">
      <alignment horizontal="center" vertical="center" wrapText="1"/>
    </xf>
    <xf numFmtId="164" fontId="1" fillId="0" borderId="28" applyAlignment="1" pivotButton="0" quotePrefix="0" xfId="0">
      <alignment horizontal="center" vertical="center"/>
    </xf>
    <xf numFmtId="0" fontId="2" fillId="0" borderId="23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6" fillId="0" borderId="1" applyAlignment="1" pivotButton="0" quotePrefix="0" xfId="0">
      <alignment horizontal="left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34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2" fontId="2" fillId="3" borderId="14" applyAlignment="1" pivotButton="0" quotePrefix="0" xfId="0">
      <alignment horizontal="center" vertical="center" wrapText="1"/>
    </xf>
    <xf numFmtId="2" fontId="2" fillId="4" borderId="14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0" fillId="0" borderId="27" pivotButton="0" quotePrefix="0" xfId="0"/>
    <xf numFmtId="2" fontId="2" fillId="4" borderId="26" applyAlignment="1" pivotButton="0" quotePrefix="0" xfId="0">
      <alignment horizontal="center" vertical="center" wrapText="1"/>
    </xf>
    <xf numFmtId="2" fontId="2" fillId="4" borderId="10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right" wrapText="1"/>
    </xf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pivotButton="0" quotePrefix="0" xfId="0"/>
    <xf numFmtId="0" fontId="3" fillId="0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tabSelected="1" zoomScale="70" zoomScaleNormal="70" workbookViewId="0">
      <pane ySplit="4" topLeftCell="A5" activePane="bottomLeft" state="frozen"/>
      <selection pane="bottomLeft" activeCell="O9" sqref="O9"/>
    </sheetView>
  </sheetViews>
  <sheetFormatPr baseColWidth="8" defaultColWidth="14" defaultRowHeight="15" customHeight="1"/>
  <sheetData>
    <row r="1" ht="39.75" customHeight="1" s="68" thickBot="1">
      <c r="A1" s="69" t="inlineStr">
        <is>
          <t>DAILY WATER LEVELS IN RESERVOIRS UNDER IRRIGATION CIRCLE, JANGAON
DATED: 14.06.2026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1" t="n"/>
    </row>
    <row r="2" ht="18" customHeight="1" s="68">
      <c r="A2" s="32" t="inlineStr">
        <is>
          <t>Sl No</t>
        </is>
      </c>
      <c r="B2" s="33" t="inlineStr">
        <is>
          <t>Name of the Reservoir</t>
        </is>
      </c>
      <c r="C2" s="33" t="inlineStr">
        <is>
          <t>Location</t>
        </is>
      </c>
      <c r="D2" s="33" t="inlineStr">
        <is>
          <t>District</t>
        </is>
      </c>
      <c r="E2" s="72" t="inlineStr">
        <is>
          <t>FRL</t>
        </is>
      </c>
      <c r="F2" s="73" t="n"/>
      <c r="G2" s="72" t="inlineStr">
        <is>
          <t>Present Level</t>
        </is>
      </c>
      <c r="H2" s="73" t="n"/>
      <c r="I2" s="36" t="n"/>
      <c r="J2" s="33" t="inlineStr">
        <is>
          <t>Percentage of Filling</t>
        </is>
      </c>
      <c r="K2" s="37" t="inlineStr">
        <is>
          <t xml:space="preserve">Remarks </t>
        </is>
      </c>
    </row>
    <row r="3" ht="12.75" customHeight="1" s="68">
      <c r="A3" s="74" t="n"/>
      <c r="B3" s="75" t="n"/>
      <c r="C3" s="75" t="n"/>
      <c r="D3" s="75" t="n"/>
      <c r="E3" s="21" t="inlineStr">
        <is>
          <t>Level in Mtrs</t>
        </is>
      </c>
      <c r="F3" s="21" t="inlineStr">
        <is>
          <t>Gross capacity in MCFT</t>
        </is>
      </c>
      <c r="G3" s="21" t="inlineStr">
        <is>
          <t>Level in Mtrs</t>
        </is>
      </c>
      <c r="H3" s="21" t="inlineStr">
        <is>
          <t>Gross capacity in MCFT</t>
        </is>
      </c>
      <c r="I3" s="21" t="inlineStr">
        <is>
          <t>Gross capacity in TMC</t>
        </is>
      </c>
      <c r="J3" s="75" t="n"/>
      <c r="K3" s="76" t="n"/>
    </row>
    <row r="4" ht="26.25" customHeight="1" s="68">
      <c r="A4" s="74" t="n"/>
      <c r="B4" s="75" t="n"/>
      <c r="C4" s="75" t="n"/>
      <c r="D4" s="75" t="n"/>
      <c r="E4" s="75" t="n"/>
      <c r="F4" s="75" t="n"/>
      <c r="G4" s="75" t="n"/>
      <c r="H4" s="75" t="n"/>
      <c r="I4" s="75" t="n"/>
      <c r="J4" s="75" t="n"/>
      <c r="K4" s="76" t="n"/>
    </row>
    <row r="5" ht="27.75" customHeight="1" s="68">
      <c r="A5" s="30" t="n">
        <v>1</v>
      </c>
      <c r="B5" s="2" t="inlineStr">
        <is>
          <t xml:space="preserve">Gandiramaram </t>
        </is>
      </c>
      <c r="C5" s="2" t="inlineStr">
        <is>
          <t>Gandiramaram(V), Narmetta(M)</t>
        </is>
      </c>
      <c r="D5" s="2" t="inlineStr">
        <is>
          <t>Jangaon</t>
        </is>
      </c>
      <c r="E5" s="3" t="n">
        <v>422</v>
      </c>
      <c r="F5" s="4" t="n">
        <v>335.6</v>
      </c>
      <c r="G5" s="4" t="n">
        <v>417.24</v>
      </c>
      <c r="H5" s="5" t="n">
        <v>206.7</v>
      </c>
      <c r="I5" s="5" t="n">
        <v>0.207</v>
      </c>
      <c r="J5" s="3" t="n">
        <v>61.59</v>
      </c>
      <c r="K5" s="77" t="inlineStr"/>
    </row>
    <row r="6" ht="27.75" customHeight="1" s="68">
      <c r="A6" s="30" t="n">
        <v>2</v>
      </c>
      <c r="B6" s="2" t="inlineStr">
        <is>
          <t xml:space="preserve">Bommakur </t>
        </is>
      </c>
      <c r="C6" s="2" t="inlineStr">
        <is>
          <t>Bommakur(V), Narmetta(M)</t>
        </is>
      </c>
      <c r="D6" s="2" t="inlineStr">
        <is>
          <t>Jangaon</t>
        </is>
      </c>
      <c r="E6" s="3" t="n">
        <v>475</v>
      </c>
      <c r="F6" s="5" t="n">
        <v>198</v>
      </c>
      <c r="G6" s="4" t="n">
        <v>469.6</v>
      </c>
      <c r="H6" s="5" t="n">
        <v>68.40000000000001</v>
      </c>
      <c r="I6" s="5" t="n">
        <v>0.068</v>
      </c>
      <c r="J6" s="3" t="n">
        <v>34.55</v>
      </c>
      <c r="K6" s="78" t="inlineStr"/>
    </row>
    <row r="7" ht="27.75" customHeight="1" s="68">
      <c r="A7" s="30" t="n">
        <v>3</v>
      </c>
      <c r="B7" s="2" t="inlineStr">
        <is>
          <t xml:space="preserve">Cheetakodur </t>
        </is>
      </c>
      <c r="C7" s="2" t="inlineStr">
        <is>
          <t>Cheetakodur(V), Jangaon(M)</t>
        </is>
      </c>
      <c r="D7" s="2" t="inlineStr">
        <is>
          <t>Jangaon</t>
        </is>
      </c>
      <c r="E7" s="3" t="n">
        <v>389</v>
      </c>
      <c r="F7" s="5" t="n">
        <v>300.258</v>
      </c>
      <c r="G7" s="4" t="n">
        <v>387.45</v>
      </c>
      <c r="H7" s="5" t="n">
        <v>193.14</v>
      </c>
      <c r="I7" s="5" t="n">
        <v>0.193</v>
      </c>
      <c r="J7" s="3" t="n">
        <v>64.31999999999999</v>
      </c>
      <c r="K7" s="77" t="inlineStr"/>
    </row>
    <row r="8" ht="27.75" customHeight="1" s="68">
      <c r="A8" s="30" t="n">
        <v>4</v>
      </c>
      <c r="B8" s="2" t="inlineStr">
        <is>
          <t>Nawabpet</t>
        </is>
      </c>
      <c r="C8" s="6" t="inlineStr">
        <is>
          <t>Nawabpet(V), Lingalaghanpur (M)</t>
        </is>
      </c>
      <c r="D8" s="2" t="inlineStr">
        <is>
          <t>Jangaon</t>
        </is>
      </c>
      <c r="E8" s="3" t="n">
        <v>328.8</v>
      </c>
      <c r="F8" s="5" t="n">
        <v>550.51</v>
      </c>
      <c r="G8" s="4" t="n">
        <v>323.7</v>
      </c>
      <c r="H8" s="5" t="n">
        <v>134.6</v>
      </c>
      <c r="I8" s="5" t="n">
        <v>0.135</v>
      </c>
      <c r="J8" s="3" t="n">
        <v>24.45</v>
      </c>
      <c r="K8" s="78" t="inlineStr"/>
    </row>
    <row r="9" ht="27.75" customHeight="1" s="68">
      <c r="A9" s="30" t="n">
        <v>5</v>
      </c>
      <c r="B9" s="2" t="inlineStr">
        <is>
          <t xml:space="preserve">R.S. Ghanpur </t>
        </is>
      </c>
      <c r="C9" s="6" t="inlineStr">
        <is>
          <t xml:space="preserve">Station Ghanpur (V) &amp; (M) </t>
        </is>
      </c>
      <c r="D9" s="2" t="inlineStr">
        <is>
          <t>Jangaon</t>
        </is>
      </c>
      <c r="E9" s="3" t="n">
        <v>338.215</v>
      </c>
      <c r="F9" s="5" t="n">
        <v>1570</v>
      </c>
      <c r="G9" s="4" t="n">
        <v>335</v>
      </c>
      <c r="H9" s="5" t="n">
        <v>611</v>
      </c>
      <c r="I9" s="5" t="n">
        <v>0.611</v>
      </c>
      <c r="J9" s="3" t="n">
        <v>38.92</v>
      </c>
      <c r="K9" s="78" t="inlineStr"/>
    </row>
    <row r="10" ht="27.75" customHeight="1" s="68">
      <c r="A10" s="30" t="n">
        <v>6</v>
      </c>
      <c r="B10" s="2" t="inlineStr">
        <is>
          <t xml:space="preserve">Ashwaraopally </t>
        </is>
      </c>
      <c r="C10" s="6" t="inlineStr">
        <is>
          <t>Ashwaraopally(V), Raghunathpally(M)</t>
        </is>
      </c>
      <c r="D10" s="2" t="inlineStr">
        <is>
          <t>Jangaon</t>
        </is>
      </c>
      <c r="E10" s="3" t="n">
        <v>400</v>
      </c>
      <c r="F10" s="5" t="n">
        <v>740</v>
      </c>
      <c r="G10" s="4" t="n">
        <v>394.26</v>
      </c>
      <c r="H10" s="5" t="n">
        <v>219</v>
      </c>
      <c r="I10" s="5" t="n">
        <v>0.219</v>
      </c>
      <c r="J10" s="3" t="n">
        <v>29.59</v>
      </c>
      <c r="K10" s="78" t="inlineStr"/>
    </row>
    <row r="11" ht="27.75" customHeight="1" s="68">
      <c r="A11" s="30" t="n">
        <v>7</v>
      </c>
      <c r="B11" s="2" t="inlineStr">
        <is>
          <t>Kanneboinagudem Tank</t>
        </is>
      </c>
      <c r="C11" s="7" t="inlineStr">
        <is>
          <t>Kannaboinagudem(V), Narmetta(M)</t>
        </is>
      </c>
      <c r="D11" s="2" t="inlineStr">
        <is>
          <t>Jangaon</t>
        </is>
      </c>
      <c r="E11" s="3" t="n">
        <v>500</v>
      </c>
      <c r="F11" s="5" t="n">
        <v>120</v>
      </c>
      <c r="G11" s="4" t="inlineStr">
        <is>
          <t>NA</t>
        </is>
      </c>
      <c r="H11" s="5" t="inlineStr">
        <is>
          <t>NA</t>
        </is>
      </c>
      <c r="I11" s="5" t="inlineStr">
        <is>
          <t>NA</t>
        </is>
      </c>
      <c r="J11" s="3" t="inlineStr">
        <is>
          <t>NA</t>
        </is>
      </c>
      <c r="K11" s="31" t="inlineStr"/>
    </row>
    <row r="12" ht="27.75" customHeight="1" s="68" thickBot="1">
      <c r="A12" s="53" t="n">
        <v>8</v>
      </c>
      <c r="B12" s="54" t="inlineStr">
        <is>
          <t>Veldanda Tank</t>
        </is>
      </c>
      <c r="C12" s="55" t="inlineStr">
        <is>
          <t>Veldanda (V), Jangaon(M)</t>
        </is>
      </c>
      <c r="D12" s="54" t="inlineStr">
        <is>
          <t>Jangaon</t>
        </is>
      </c>
      <c r="E12" s="56" t="n">
        <v>480</v>
      </c>
      <c r="F12" s="57" t="n">
        <v>150</v>
      </c>
      <c r="G12" s="58" t="inlineStr">
        <is>
          <t>NA</t>
        </is>
      </c>
      <c r="H12" s="57" t="inlineStr">
        <is>
          <t>NA</t>
        </is>
      </c>
      <c r="I12" s="57" t="inlineStr">
        <is>
          <t>NA</t>
        </is>
      </c>
      <c r="J12" s="56" t="inlineStr">
        <is>
          <t>NA</t>
        </is>
      </c>
      <c r="K12" s="59" t="inlineStr"/>
    </row>
    <row r="13" ht="27.75" customHeight="1" s="68" thickBot="1">
      <c r="A13" s="79" t="inlineStr">
        <is>
          <t>JANGAON District TOTAL</t>
        </is>
      </c>
      <c r="B13" s="70" t="n"/>
      <c r="C13" s="70" t="n"/>
      <c r="D13" s="70" t="n"/>
      <c r="E13" s="80" t="n"/>
      <c r="F13" s="60">
        <f>SUM(F5:F12)</f>
        <v/>
      </c>
      <c r="G13" s="61" t="n"/>
      <c r="H13" s="62" t="n"/>
      <c r="I13" s="60">
        <f>SUM(I5:I12)</f>
        <v/>
      </c>
      <c r="J13" s="63" t="n"/>
      <c r="K13" s="64" t="n"/>
    </row>
    <row r="14" ht="27.75" customHeight="1" s="68">
      <c r="A14" s="47" t="n">
        <v>9</v>
      </c>
      <c r="B14" s="48" t="inlineStr">
        <is>
          <t>Tapaspally</t>
        </is>
      </c>
      <c r="C14" s="48" t="inlineStr">
        <is>
          <t>Tapaspally</t>
        </is>
      </c>
      <c r="D14" s="48" t="inlineStr">
        <is>
          <t>Siddipet</t>
        </is>
      </c>
      <c r="E14" s="50" t="n">
        <v>535.6</v>
      </c>
      <c r="F14" s="51" t="n">
        <v>300.469</v>
      </c>
      <c r="G14" s="50" t="n">
        <v>535.6</v>
      </c>
      <c r="H14" s="51" t="n">
        <v>100.469</v>
      </c>
      <c r="I14" s="51" t="n">
        <v>0.1</v>
      </c>
      <c r="J14" s="49" t="n">
        <v>33.44</v>
      </c>
      <c r="K14" s="81" t="inlineStr"/>
    </row>
    <row r="15" ht="27.75" customHeight="1" s="68">
      <c r="A15" s="30" t="n">
        <v>10</v>
      </c>
      <c r="B15" s="2" t="inlineStr">
        <is>
          <t>Laddunoor Tank</t>
        </is>
      </c>
      <c r="C15" s="7" t="inlineStr">
        <is>
          <t>Ladnoor(V), Maddhur (M)</t>
        </is>
      </c>
      <c r="D15" s="2" t="inlineStr">
        <is>
          <t>Siddipet</t>
        </is>
      </c>
      <c r="E15" s="4" t="n">
        <v>480</v>
      </c>
      <c r="F15" s="5" t="n">
        <v>296</v>
      </c>
      <c r="G15" s="4" t="inlineStr">
        <is>
          <t>NA</t>
        </is>
      </c>
      <c r="H15" s="5" t="inlineStr">
        <is>
          <t>NA</t>
        </is>
      </c>
      <c r="I15" s="5" t="inlineStr">
        <is>
          <t>NA</t>
        </is>
      </c>
      <c r="J15" s="3" t="inlineStr">
        <is>
          <t>NA</t>
        </is>
      </c>
      <c r="K15" s="31" t="inlineStr"/>
    </row>
    <row r="16" ht="27.75" customHeight="1" s="68">
      <c r="A16" s="30" t="n">
        <v>11</v>
      </c>
      <c r="B16" s="2" t="inlineStr">
        <is>
          <t>Inapur Tank</t>
        </is>
      </c>
      <c r="C16" s="7" t="inlineStr">
        <is>
          <t>Inapur (V), Komuravelli(M)</t>
        </is>
      </c>
      <c r="D16" s="2" t="inlineStr">
        <is>
          <t>Siddipet</t>
        </is>
      </c>
      <c r="E16" s="4" t="n">
        <v>518.5</v>
      </c>
      <c r="F16" s="5" t="n">
        <v>122</v>
      </c>
      <c r="G16" s="4" t="inlineStr">
        <is>
          <t>NA</t>
        </is>
      </c>
      <c r="H16" s="5" t="inlineStr">
        <is>
          <t>NA</t>
        </is>
      </c>
      <c r="I16" s="5" t="inlineStr">
        <is>
          <t>NA</t>
        </is>
      </c>
      <c r="J16" s="3" t="inlineStr">
        <is>
          <t>NA</t>
        </is>
      </c>
      <c r="K16" s="31" t="inlineStr"/>
    </row>
    <row r="17" ht="27.75" customHeight="1" s="68">
      <c r="A17" s="30" t="n">
        <v>12</v>
      </c>
      <c r="B17" s="2" t="inlineStr">
        <is>
          <t>Maa Reddy Cheruvu</t>
        </is>
      </c>
      <c r="C17" s="7" t="inlineStr">
        <is>
          <t>Nagapuri (V), Cherial (M)</t>
        </is>
      </c>
      <c r="D17" s="2" t="inlineStr">
        <is>
          <t>Siddipet</t>
        </is>
      </c>
      <c r="E17" s="4" t="n">
        <v>527</v>
      </c>
      <c r="F17" s="5" t="n">
        <v>130</v>
      </c>
      <c r="G17" s="4" t="n">
        <v>525.8</v>
      </c>
      <c r="H17" s="5" t="n">
        <v>97.36199999999999</v>
      </c>
      <c r="I17" s="5" t="n">
        <v>0.097</v>
      </c>
      <c r="J17" s="3" t="n">
        <v>74.89</v>
      </c>
      <c r="K17" s="77" t="inlineStr"/>
    </row>
    <row r="18" ht="27.75" customHeight="1" s="68" thickBot="1">
      <c r="A18" s="53" t="n">
        <v>13</v>
      </c>
      <c r="B18" s="54" t="inlineStr">
        <is>
          <t>Mylaram Balancing Reservoir</t>
        </is>
      </c>
      <c r="C18" s="65" t="inlineStr">
        <is>
          <t xml:space="preserve">Mylaram(V), Rayaparthi (M) </t>
        </is>
      </c>
      <c r="D18" s="54" t="inlineStr">
        <is>
          <t>Warangal</t>
        </is>
      </c>
      <c r="E18" s="58" t="n">
        <v>250.5</v>
      </c>
      <c r="F18" s="57" t="n">
        <v>867</v>
      </c>
      <c r="G18" s="58" t="n">
        <v>247.4</v>
      </c>
      <c r="H18" s="57" t="n">
        <v>356</v>
      </c>
      <c r="I18" s="57" t="n">
        <v>0.356</v>
      </c>
      <c r="J18" s="56" t="n">
        <v>41.06</v>
      </c>
      <c r="K18" s="82" t="inlineStr"/>
    </row>
    <row r="19" ht="24" customHeight="1" s="68" thickBot="1">
      <c r="A19" s="79" t="inlineStr">
        <is>
          <t>TOTAL</t>
        </is>
      </c>
      <c r="B19" s="70" t="n"/>
      <c r="C19" s="70" t="n"/>
      <c r="D19" s="70" t="n"/>
      <c r="E19" s="80" t="n"/>
      <c r="F19" s="60">
        <f>SUM(F14:F18)+F13</f>
        <v/>
      </c>
      <c r="G19" s="61" t="inlineStr">
        <is>
          <t>   </t>
        </is>
      </c>
      <c r="H19" s="62" t="n"/>
      <c r="I19" s="60">
        <f>SUM(I13:I18)</f>
        <v/>
      </c>
      <c r="J19" s="63" t="n"/>
      <c r="K19" s="64" t="n"/>
    </row>
    <row r="20" ht="12.75" customHeight="1" s="68">
      <c r="A20" s="83" t="inlineStr">
        <is>
          <t xml:space="preserve">
Superintending Engineer, I&amp;CADD
Irrigation Circle, Jangaon</t>
        </is>
      </c>
      <c r="K20" s="84" t="n"/>
    </row>
    <row r="21" ht="15.75" customHeight="1" s="68">
      <c r="A21" s="85" t="n"/>
      <c r="K21" s="84" t="n"/>
    </row>
    <row r="22" ht="15.75" customHeight="1" s="68">
      <c r="A22" s="85" t="n"/>
      <c r="K22" s="84" t="n"/>
    </row>
    <row r="23" ht="15.75" customHeight="1" s="68">
      <c r="A23" s="85" t="n"/>
      <c r="K23" s="84" t="n"/>
    </row>
    <row r="24" ht="15.75" customHeight="1" s="68" thickBot="1">
      <c r="A24" s="86" t="n"/>
      <c r="B24" s="87" t="n"/>
      <c r="C24" s="87" t="n"/>
      <c r="D24" s="87" t="n"/>
      <c r="E24" s="87" t="n"/>
      <c r="F24" s="87" t="n"/>
      <c r="G24" s="87" t="n"/>
      <c r="H24" s="87" t="n"/>
      <c r="I24" s="87" t="n"/>
      <c r="J24" s="87" t="n"/>
      <c r="K24" s="88" t="n"/>
    </row>
    <row r="25" ht="15.75" customHeight="1" s="6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.75" customHeight="1" s="6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.75" customHeight="1" s="6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.75" customHeight="1" s="6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.75" customHeight="1" s="6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.75" customHeight="1" s="68">
      <c r="A30" s="1" t="n"/>
      <c r="B30" s="1" t="n"/>
      <c r="C30" s="1" t="n"/>
      <c r="D30" s="1" t="n"/>
      <c r="E30" s="1" t="n"/>
      <c r="F30" s="1" t="n"/>
      <c r="G30" s="1" t="inlineStr">
        <is>
          <t> </t>
        </is>
      </c>
      <c r="H30" s="1" t="n"/>
      <c r="I30" s="1" t="n"/>
      <c r="J30" s="1" t="n"/>
      <c r="K30" s="1" t="n"/>
    </row>
    <row r="31" ht="15.75" customHeight="1" s="6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.75" customHeight="1" s="6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.75" customHeight="1" s="6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.75" customHeight="1" s="6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.75" customHeight="1" s="6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.75" customHeight="1" s="6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.75" customHeight="1" s="6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.75" customHeight="1" s="6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.75" customHeight="1" s="6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.75" customHeight="1" s="6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 ht="15.75" customHeight="1" s="6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15.75" customHeight="1" s="6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15.75" customHeight="1" s="6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15.75" customHeight="1" s="6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 ht="15.75" customHeight="1" s="6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 ht="15.75" customHeight="1" s="6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 ht="15.75" customHeight="1" s="6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15.75" customHeight="1" s="6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15.75" customHeight="1" s="6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15.75" customHeight="1" s="6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15.75" customHeight="1" s="6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15.75" customHeight="1" s="6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 ht="15.75" customHeight="1" s="6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15.75" customHeight="1" s="6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15.75" customHeight="1" s="6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 ht="15.75" customHeight="1" s="6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 ht="15.75" customHeight="1" s="6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15.75" customHeight="1" s="6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 ht="15.75" customHeight="1" s="6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15.75" customHeight="1" s="6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 ht="15.75" customHeight="1" s="6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 ht="15.75" customHeight="1" s="6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 ht="15.75" customHeight="1" s="6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15.75" customHeight="1" s="6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 ht="15.75" customHeight="1" s="6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15.75" customHeight="1" s="6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 ht="15.75" customHeight="1" s="6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 ht="15.75" customHeight="1" s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 ht="15.75" customHeight="1" s="6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 ht="15.75" customHeight="1" s="6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 ht="15.75" customHeight="1" s="6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 ht="15.75" customHeight="1" s="6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 ht="15.75" customHeight="1" s="6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 ht="15.75" customHeight="1" s="6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 ht="15.75" customHeight="1" s="6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 ht="15.75" customHeight="1" s="6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 ht="15.75" customHeight="1" s="6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 ht="15.75" customHeight="1" s="6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 ht="15.75" customHeight="1" s="6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 ht="15.75" customHeight="1" s="6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 ht="15.75" customHeight="1" s="6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 ht="15.75" customHeight="1" s="6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 ht="15.75" customHeight="1" s="6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 ht="15.75" customHeight="1" s="6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 ht="15.75" customHeight="1" s="6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 ht="15.75" customHeight="1" s="6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 ht="15.75" customHeight="1" s="6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 ht="15.75" customHeight="1" s="6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 ht="15.75" customHeight="1" s="6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 ht="15.75" customHeight="1" s="6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 ht="15.75" customHeight="1" s="6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 ht="15.75" customHeight="1" s="6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 ht="15.75" customHeight="1" s="6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 ht="15.75" customHeight="1" s="6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 ht="15.75" customHeight="1" s="6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 ht="15.75" customHeight="1" s="6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5.75" customHeight="1" s="6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5.75" customHeight="1" s="6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5.75" customHeight="1" s="6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 ht="15.75" customHeight="1" s="6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 ht="15.75" customHeight="1" s="6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 ht="15.75" customHeight="1" s="6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 ht="15.75" customHeight="1" s="6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 ht="15.75" customHeight="1" s="6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 ht="15.75" customHeight="1" s="6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 ht="15.75" customHeight="1" s="6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 ht="15.75" customHeight="1" s="6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 ht="15.75" customHeight="1" s="6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 ht="15.75" customHeight="1" s="6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 ht="15.75" customHeight="1" s="6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 ht="15.75" customHeight="1" s="6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 ht="15.75" customHeight="1" s="6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 ht="15.75" customHeight="1" s="6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 ht="15.75" customHeight="1" s="6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 ht="15.75" customHeight="1" s="6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 ht="15.75" customHeight="1" s="6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 ht="15.75" customHeight="1" s="6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 ht="15.75" customHeight="1" s="6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 ht="15.75" customHeight="1" s="6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 ht="15.75" customHeight="1" s="6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 ht="15.75" customHeight="1" s="6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 ht="15.75" customHeight="1" s="6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 ht="15.75" customHeight="1" s="6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 ht="15.75" customHeight="1" s="6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 ht="15.75" customHeight="1" s="6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 ht="15.75" customHeight="1" s="6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 ht="15.75" customHeight="1" s="6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 ht="15.75" customHeight="1" s="6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 ht="15.75" customHeight="1" s="6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 ht="15.75" customHeight="1" s="6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 ht="15.75" customHeight="1" s="6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 ht="15.75" customHeight="1" s="6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 ht="15.75" customHeight="1" s="6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 ht="15.75" customHeight="1" s="6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 ht="15.75" customHeight="1" s="6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 ht="15.75" customHeight="1" s="6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 ht="15.75" customHeight="1" s="6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 ht="15.75" customHeight="1" s="6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 ht="15.75" customHeight="1" s="6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 ht="15.75" customHeight="1" s="6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 ht="15.75" customHeight="1" s="6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 ht="15.75" customHeight="1" s="6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 ht="15.75" customHeight="1" s="6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 ht="15.75" customHeight="1" s="6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 ht="15.75" customHeight="1" s="6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 ht="15.75" customHeight="1" s="6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 ht="15.75" customHeight="1" s="6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 ht="15.75" customHeight="1" s="6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 ht="15.75" customHeight="1" s="6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 ht="15.75" customHeight="1" s="6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 ht="15.75" customHeight="1" s="6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 ht="15.75" customHeight="1" s="6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 ht="15.75" customHeight="1" s="6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 ht="15.75" customHeight="1" s="6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 ht="15.75" customHeight="1" s="6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 ht="15.75" customHeight="1" s="6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 ht="15.75" customHeight="1" s="6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 ht="15.75" customHeight="1" s="6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 ht="15.75" customHeight="1" s="6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 ht="15.75" customHeight="1" s="6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 ht="15.75" customHeight="1" s="6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 ht="15.75" customHeight="1" s="6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 ht="15.75" customHeight="1" s="6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 ht="15.75" customHeight="1" s="6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 ht="15.75" customHeight="1" s="6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 ht="15.75" customHeight="1" s="6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 ht="15.75" customHeight="1" s="6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 ht="15.75" customHeight="1" s="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 ht="15.75" customHeight="1" s="6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 ht="15.75" customHeight="1" s="6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 ht="15.75" customHeight="1" s="6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 ht="15.75" customHeight="1" s="6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 ht="15.75" customHeight="1" s="6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 ht="15.75" customHeight="1" s="6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 ht="15.75" customHeight="1" s="6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 ht="15.75" customHeight="1" s="6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 ht="15.75" customHeight="1" s="6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 ht="15.75" customHeight="1" s="6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 ht="15.75" customHeight="1" s="6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 ht="15.75" customHeight="1" s="6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 ht="15.75" customHeight="1" s="6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 ht="15.75" customHeight="1" s="6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 ht="15.75" customHeight="1" s="6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 ht="15.75" customHeight="1" s="6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 ht="15.75" customHeight="1" s="6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 ht="15.75" customHeight="1" s="6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 ht="15.75" customHeight="1" s="6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 ht="15.75" customHeight="1" s="6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 ht="15.75" customHeight="1" s="6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 ht="15.75" customHeight="1" s="6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 ht="15.75" customHeight="1" s="6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 ht="15.75" customHeight="1" s="6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 ht="15.75" customHeight="1" s="6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 ht="15.75" customHeight="1" s="6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 ht="15.75" customHeight="1" s="6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 ht="15.75" customHeight="1" s="6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 ht="15.75" customHeight="1" s="6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 ht="15.75" customHeight="1" s="6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 ht="15.75" customHeight="1" s="6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 ht="15.75" customHeight="1" s="6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 ht="15.75" customHeight="1" s="6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 ht="15.75" customHeight="1" s="6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 ht="15.75" customHeight="1" s="6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 ht="15.75" customHeight="1" s="6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 ht="15.75" customHeight="1" s="6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 ht="15.75" customHeight="1" s="6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 ht="15.75" customHeight="1" s="6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 ht="15.75" customHeight="1" s="6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 ht="15.75" customHeight="1" s="6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 ht="15.75" customHeight="1" s="6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 ht="15.75" customHeight="1" s="6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 ht="15.75" customHeight="1" s="6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 ht="15.75" customHeight="1" s="6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 ht="15.75" customHeight="1" s="6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 ht="15.75" customHeight="1" s="6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 ht="15.75" customHeight="1" s="6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 ht="15.75" customHeight="1" s="6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 ht="15.75" customHeight="1" s="6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 ht="15.75" customHeight="1" s="6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 ht="15.75" customHeight="1" s="6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 ht="15.75" customHeight="1" s="6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 ht="15.75" customHeight="1" s="6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 ht="15.75" customHeight="1" s="6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 ht="15.75" customHeight="1" s="6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 ht="15.75" customHeight="1" s="6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 ht="15.75" customHeight="1" s="6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 ht="15.75" customHeight="1" s="6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 ht="15.75" customHeight="1" s="6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 ht="15.75" customHeight="1" s="6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 ht="15.75" customHeight="1" s="6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mergeCells count="17">
    <mergeCell ref="A2:A4"/>
    <mergeCell ref="E2:F2"/>
    <mergeCell ref="G2:H2"/>
    <mergeCell ref="C2:C4"/>
    <mergeCell ref="G3:G4"/>
    <mergeCell ref="E3:E4"/>
    <mergeCell ref="A19:E19"/>
    <mergeCell ref="K2:K4"/>
    <mergeCell ref="F3:F4"/>
    <mergeCell ref="A20:K24"/>
    <mergeCell ref="H3:H4"/>
    <mergeCell ref="J2:J4"/>
    <mergeCell ref="I3:I4"/>
    <mergeCell ref="A13:E13"/>
    <mergeCell ref="B2:B4"/>
    <mergeCell ref="A1:K1"/>
    <mergeCell ref="D2:D4"/>
  </mergeCells>
  <printOptions horizontalCentered="1"/>
  <pageMargins left="0.53" right="0.17" top="0.23" bottom="0.31" header="0" footer="0"/>
  <pageSetup orientation="landscape" paperSize="9"/>
  <headerFooter>
    <oddHeader/>
    <oddFooter>&amp;L&amp;F&amp;F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5703125" defaultRowHeight="15" customHeight="1"/>
  <cols>
    <col width="8.42578125" customWidth="1" style="68" min="1" max="1"/>
    <col width="22.5703125" customWidth="1" style="68" min="2" max="2"/>
    <col width="12.7109375" customWidth="1" style="68" min="3" max="3"/>
    <col width="10.28515625" customWidth="1" style="68" min="4" max="4"/>
    <col width="11.5703125" customWidth="1" style="68" min="5" max="5"/>
    <col width="11.28515625" customWidth="1" style="68" min="6" max="6"/>
    <col width="13.140625" customWidth="1" style="68" min="7" max="7"/>
    <col width="14.140625" customWidth="1" style="68" min="8" max="9"/>
    <col width="11.7109375" customWidth="1" style="68" min="10" max="10"/>
    <col width="10.5703125" customWidth="1" style="68" min="11" max="11"/>
    <col width="8.5703125" customWidth="1" style="68" min="12" max="13"/>
    <col width="8" customWidth="1" style="68" min="14" max="14"/>
    <col hidden="1" width="10.28515625" customWidth="1" style="68" min="15" max="15"/>
  </cols>
  <sheetData>
    <row r="1" ht="50.25" customHeight="1" s="68">
      <c r="A1" s="27" t="inlineStr">
        <is>
          <t>DAILY WATER LEVELS IN MEDIUM IRRIGATION PROJECT UNDER IRRIGATIOIN CIRCLE, WARANGAL 
DATED: 11.04.2018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</row>
    <row r="2" ht="12.75" customHeight="1" s="68">
      <c r="A2" s="90" t="inlineStr">
        <is>
          <t>Sl No</t>
        </is>
      </c>
      <c r="B2" s="90" t="inlineStr">
        <is>
          <t>Name of the Project</t>
        </is>
      </c>
      <c r="C2" s="90" t="inlineStr">
        <is>
          <t>Total Ayacut in Acres</t>
        </is>
      </c>
      <c r="D2" s="90" t="inlineStr">
        <is>
          <t>Sill Level</t>
        </is>
      </c>
      <c r="E2" s="91" t="n"/>
      <c r="F2" s="90" t="inlineStr">
        <is>
          <t>Maximum Depth of Water above sill in Mtrs</t>
        </is>
      </c>
      <c r="G2" s="90" t="inlineStr">
        <is>
          <t>FRL</t>
        </is>
      </c>
      <c r="H2" s="91" t="n"/>
      <c r="I2" s="90" t="inlineStr">
        <is>
          <t>Total Depth of water above sill level in Feet</t>
        </is>
      </c>
      <c r="J2" s="90" t="inlineStr">
        <is>
          <t xml:space="preserve">Depth of water in Feet to day </t>
        </is>
      </c>
      <c r="K2" s="90" t="inlineStr">
        <is>
          <t>Live water available in MCFT to day</t>
        </is>
      </c>
      <c r="L2" s="90" t="inlineStr">
        <is>
          <t>Inflow In cusecs</t>
        </is>
      </c>
      <c r="M2" s="90" t="inlineStr">
        <is>
          <t>Outflow in Cusecs</t>
        </is>
      </c>
      <c r="N2" s="90" t="inlineStr">
        <is>
          <t>Rain Fall in mm</t>
        </is>
      </c>
      <c r="O2" s="90" t="inlineStr">
        <is>
          <t>Transplantation</t>
        </is>
      </c>
    </row>
    <row r="3" ht="12.75" customHeight="1" s="68">
      <c r="A3" s="75" t="n"/>
      <c r="B3" s="75" t="n"/>
      <c r="C3" s="75" t="n"/>
      <c r="D3" s="90" t="inlineStr">
        <is>
          <t>Levels in Mtrs</t>
        </is>
      </c>
      <c r="E3" s="90" t="inlineStr">
        <is>
          <t>Dead storage in MCFT</t>
        </is>
      </c>
      <c r="F3" s="75" t="n"/>
      <c r="G3" s="90" t="inlineStr">
        <is>
          <t>Level in Mtrs</t>
        </is>
      </c>
      <c r="H3" s="90" t="inlineStr">
        <is>
          <t>Gross capacity in MCFT</t>
        </is>
      </c>
      <c r="I3" s="75" t="n"/>
      <c r="J3" s="75" t="n"/>
      <c r="K3" s="75" t="n"/>
      <c r="L3" s="75" t="n"/>
      <c r="M3" s="75" t="n"/>
      <c r="N3" s="75" t="n"/>
      <c r="O3" s="75" t="n"/>
    </row>
    <row r="4" ht="42" customHeight="1" s="68">
      <c r="A4" s="92" t="n"/>
      <c r="B4" s="92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</row>
    <row r="5" ht="53.25" customHeight="1" s="68">
      <c r="A5" s="9" t="n">
        <v>1</v>
      </c>
      <c r="B5" s="10" t="inlineStr">
        <is>
          <t>Pakhal Lake</t>
        </is>
      </c>
      <c r="C5" s="11" t="n">
        <v>18193</v>
      </c>
      <c r="D5" s="12" t="inlineStr">
        <is>
          <t>+243.71</t>
        </is>
      </c>
      <c r="E5" s="12" t="n">
        <v>450</v>
      </c>
      <c r="F5" s="12" t="n">
        <v>9.199999999999999</v>
      </c>
      <c r="G5" s="12" t="inlineStr">
        <is>
          <t>+253.92</t>
        </is>
      </c>
      <c r="H5" s="12" t="n">
        <v>3384</v>
      </c>
      <c r="I5" s="9" t="inlineStr">
        <is>
          <t>30'-3"</t>
        </is>
      </c>
      <c r="J5" s="12" t="inlineStr">
        <is>
          <t>10' -3"</t>
        </is>
      </c>
      <c r="K5" s="13" t="n">
        <v>467</v>
      </c>
      <c r="L5" s="9" t="n">
        <v>0</v>
      </c>
      <c r="M5" s="9" t="n">
        <v>400</v>
      </c>
      <c r="N5" s="9" t="n">
        <v>0</v>
      </c>
      <c r="O5" s="11" t="n">
        <v>18193</v>
      </c>
    </row>
    <row r="6" ht="55.5" customHeight="1" s="68">
      <c r="A6" s="9" t="n">
        <v>2</v>
      </c>
      <c r="B6" s="10" t="inlineStr">
        <is>
          <t>Laknavaram Lake</t>
        </is>
      </c>
      <c r="C6" s="11" t="n">
        <v>8700</v>
      </c>
      <c r="D6" s="12" t="inlineStr">
        <is>
          <t>+174.52</t>
        </is>
      </c>
      <c r="E6" s="12" t="n">
        <v>0</v>
      </c>
      <c r="F6" s="12" t="n">
        <v>10.46</v>
      </c>
      <c r="G6" s="12" t="inlineStr">
        <is>
          <t>+185.00</t>
        </is>
      </c>
      <c r="H6" s="12" t="n">
        <v>2135.28</v>
      </c>
      <c r="I6" s="9" t="inlineStr">
        <is>
          <t>34'-4"</t>
        </is>
      </c>
      <c r="J6" s="12" t="inlineStr">
        <is>
          <t>19' - 10"</t>
        </is>
      </c>
      <c r="K6" s="13" t="n">
        <v>286</v>
      </c>
      <c r="L6" s="9" t="n">
        <v>0</v>
      </c>
      <c r="M6" s="9" t="n">
        <v>70</v>
      </c>
      <c r="N6" s="9" t="n">
        <v>0</v>
      </c>
      <c r="O6" s="11" t="n">
        <v>8700</v>
      </c>
    </row>
    <row r="7" ht="53.25" customHeight="1" s="68">
      <c r="A7" s="9" t="n">
        <v>3</v>
      </c>
      <c r="B7" s="10" t="inlineStr">
        <is>
          <t>Ramappa Lake</t>
        </is>
      </c>
      <c r="C7" s="11" t="n">
        <v>5180</v>
      </c>
      <c r="D7" s="12" t="inlineStr">
        <is>
          <t>+198.71</t>
        </is>
      </c>
      <c r="E7" s="12" t="inlineStr">
        <is>
          <t>NIL</t>
        </is>
      </c>
      <c r="F7" s="12" t="n">
        <v>10.67</v>
      </c>
      <c r="G7" s="12" t="inlineStr">
        <is>
          <t>+209.38</t>
        </is>
      </c>
      <c r="H7" s="12" t="n">
        <v>1912.65</v>
      </c>
      <c r="I7" s="9" t="inlineStr">
        <is>
          <t>35'-0"</t>
        </is>
      </c>
      <c r="J7" s="12" t="inlineStr">
        <is>
          <t>23' -00"</t>
        </is>
      </c>
      <c r="K7" s="13" t="n">
        <v>826</v>
      </c>
      <c r="L7" s="9" t="n">
        <v>0</v>
      </c>
      <c r="M7" s="9" t="n">
        <v>40</v>
      </c>
      <c r="N7" s="9" t="n">
        <v>0</v>
      </c>
      <c r="O7" s="11" t="n">
        <v>5180</v>
      </c>
    </row>
    <row r="8" ht="53.25" customHeight="1" s="68">
      <c r="A8" s="9" t="n">
        <v>4</v>
      </c>
      <c r="B8" s="10" t="inlineStr">
        <is>
          <t>Malluruvagu Project</t>
        </is>
      </c>
      <c r="C8" s="11" t="n">
        <v>7500</v>
      </c>
      <c r="D8" s="12" t="inlineStr">
        <is>
          <t>+107</t>
        </is>
      </c>
      <c r="E8" s="12" t="n">
        <v>24.65</v>
      </c>
      <c r="F8" s="12" t="n">
        <v>8.23</v>
      </c>
      <c r="G8" s="12" t="n">
        <v>115.25</v>
      </c>
      <c r="H8" s="12" t="n">
        <v>365</v>
      </c>
      <c r="I8" s="9" t="inlineStr">
        <is>
          <t>27'-0"</t>
        </is>
      </c>
      <c r="J8" s="12" t="inlineStr">
        <is>
          <t>5' -00"</t>
        </is>
      </c>
      <c r="K8" s="13" t="n">
        <v>30</v>
      </c>
      <c r="L8" s="9" t="n">
        <v>0</v>
      </c>
      <c r="M8" s="9" t="n">
        <v>0</v>
      </c>
      <c r="N8" s="9" t="n">
        <v>0</v>
      </c>
      <c r="O8" s="11" t="n">
        <v>5000</v>
      </c>
    </row>
    <row r="9" ht="53.25" customHeight="1" s="68">
      <c r="A9" s="9" t="n">
        <v>5</v>
      </c>
      <c r="B9" s="10" t="inlineStr">
        <is>
          <t>Boggulavagu</t>
        </is>
      </c>
      <c r="C9" s="11" t="n">
        <v>5150</v>
      </c>
      <c r="D9" s="12" t="inlineStr">
        <is>
          <t>+151.18</t>
        </is>
      </c>
      <c r="E9" s="12" t="n">
        <v>24</v>
      </c>
      <c r="F9" s="12" t="n">
        <v>8.23</v>
      </c>
      <c r="G9" s="12" t="inlineStr">
        <is>
          <t>+159.41</t>
        </is>
      </c>
      <c r="H9" s="12" t="n">
        <v>406.61</v>
      </c>
      <c r="I9" s="12" t="inlineStr">
        <is>
          <t>27'-.00"</t>
        </is>
      </c>
      <c r="J9" s="9" t="inlineStr">
        <is>
          <t>2'-0"</t>
        </is>
      </c>
      <c r="K9" s="13" t="n">
        <v>30</v>
      </c>
      <c r="L9" s="9" t="n">
        <v>0</v>
      </c>
      <c r="M9" s="9" t="n">
        <v>0</v>
      </c>
      <c r="N9" s="9" t="n">
        <v>0</v>
      </c>
      <c r="O9" s="11" t="n"/>
    </row>
    <row r="10" ht="53.25" customHeight="1" s="68">
      <c r="A10" s="14" t="n">
        <v>6</v>
      </c>
      <c r="B10" s="15" t="inlineStr">
        <is>
          <t>Palam vagu</t>
        </is>
      </c>
      <c r="C10" s="11" t="n">
        <v>10132</v>
      </c>
      <c r="D10" s="11" t="inlineStr">
        <is>
          <t>+102.20</t>
        </is>
      </c>
      <c r="E10" s="11" t="n">
        <v>113.36</v>
      </c>
      <c r="F10" s="11" t="n">
        <v>30.3</v>
      </c>
      <c r="G10" s="11" t="inlineStr">
        <is>
          <t>+132.5</t>
        </is>
      </c>
      <c r="H10" s="11" t="n">
        <v>1259</v>
      </c>
      <c r="I10" s="11" t="inlineStr">
        <is>
          <t>99'-4"</t>
        </is>
      </c>
      <c r="J10" s="11" t="inlineStr">
        <is>
          <t>65'-53"</t>
        </is>
      </c>
      <c r="K10" s="11" t="n">
        <v>439</v>
      </c>
      <c r="L10" s="11" t="n">
        <v>0</v>
      </c>
      <c r="M10" s="11" t="n">
        <v>40</v>
      </c>
      <c r="N10" s="11" t="n">
        <v>0</v>
      </c>
      <c r="O10" s="11" t="n"/>
    </row>
    <row r="11" ht="53.25" customHeight="1" s="68">
      <c r="A11" s="16" t="n">
        <v>7</v>
      </c>
      <c r="B11" s="17" t="inlineStr">
        <is>
          <t xml:space="preserve"> L.T Bayyaram</t>
        </is>
      </c>
      <c r="C11" s="8" t="n">
        <v>7200</v>
      </c>
      <c r="D11" s="3" t="inlineStr">
        <is>
          <t>+190.50</t>
        </is>
      </c>
      <c r="E11" s="18" t="n">
        <v>13</v>
      </c>
      <c r="F11" s="8" t="n">
        <v>4.88</v>
      </c>
      <c r="G11" s="8" t="inlineStr">
        <is>
          <t>+195.38</t>
        </is>
      </c>
      <c r="H11" s="8" t="n">
        <v>397</v>
      </c>
      <c r="I11" s="8" t="inlineStr">
        <is>
          <t>16'-0"</t>
        </is>
      </c>
      <c r="J11" s="8" t="inlineStr">
        <is>
          <t>12'-0"</t>
        </is>
      </c>
      <c r="K11" s="8" t="n">
        <v>227</v>
      </c>
      <c r="L11" s="16" t="n"/>
      <c r="M11" s="8" t="n">
        <v>10</v>
      </c>
      <c r="N11" s="16" t="n"/>
      <c r="O11" s="8" t="n"/>
    </row>
    <row r="12" ht="45.75" customHeight="1" s="68">
      <c r="A12" s="9" t="n">
        <v>8</v>
      </c>
      <c r="B12" s="10" t="inlineStr">
        <is>
          <t>Gundlavagu</t>
        </is>
      </c>
      <c r="C12" s="11" t="n">
        <v>2580</v>
      </c>
      <c r="D12" s="12" t="inlineStr">
        <is>
          <t>+105.45</t>
        </is>
      </c>
      <c r="E12" s="12" t="n">
        <v>7.044</v>
      </c>
      <c r="F12" s="12" t="n">
        <v>11.25</v>
      </c>
      <c r="G12" s="12" t="inlineStr">
        <is>
          <t>+116.70</t>
        </is>
      </c>
      <c r="H12" s="12" t="n">
        <v>87.95999999999999</v>
      </c>
      <c r="I12" s="12" t="inlineStr">
        <is>
          <t>36'-10"</t>
        </is>
      </c>
      <c r="J12" s="11" t="inlineStr">
        <is>
          <t>0'-0"</t>
        </is>
      </c>
      <c r="K12" s="12" t="n">
        <v>0</v>
      </c>
      <c r="L12" s="9" t="n">
        <v>0</v>
      </c>
      <c r="M12" s="9" t="n">
        <v>0</v>
      </c>
      <c r="N12" s="9" t="n">
        <v>0</v>
      </c>
      <c r="O12" s="11" t="n"/>
    </row>
    <row r="13" ht="12.75" customHeight="1" s="68">
      <c r="K13" s="19" t="n"/>
    </row>
    <row r="14" ht="12.75" customHeight="1" s="68">
      <c r="K14" s="19" t="n"/>
    </row>
    <row r="15" ht="12.75" customHeight="1" s="68">
      <c r="K15" s="19" t="n"/>
    </row>
    <row r="16" ht="12.75" customHeight="1" s="68">
      <c r="K16" s="19" t="n"/>
    </row>
    <row r="17" ht="12.75" customHeight="1" s="68">
      <c r="K17" s="19" t="n"/>
    </row>
    <row r="18" ht="12.75" customHeight="1" s="68">
      <c r="K18" s="19" t="n"/>
    </row>
    <row r="19" ht="12.75" customHeight="1" s="68">
      <c r="K19" s="19" t="n"/>
    </row>
    <row r="20" ht="12.75" customHeight="1" s="68">
      <c r="K20" s="19" t="n"/>
    </row>
    <row r="21" ht="15.75" customHeight="1" s="68">
      <c r="K21" s="19" t="n"/>
    </row>
    <row r="22" ht="15.75" customHeight="1" s="68">
      <c r="K22" s="19" t="n"/>
    </row>
    <row r="23" ht="15.75" customHeight="1" s="68">
      <c r="I23" s="20">
        <f>125.43-107</f>
        <v/>
      </c>
      <c r="K23" s="19" t="n"/>
    </row>
    <row r="24" ht="15.75" customHeight="1" s="68">
      <c r="K24" s="19" t="n"/>
    </row>
    <row r="25" ht="15.75" customHeight="1" s="68">
      <c r="K25" s="19" t="n"/>
    </row>
    <row r="26" ht="15.75" customHeight="1" s="68">
      <c r="K26" s="19" t="n"/>
    </row>
    <row r="27" ht="15.75" customHeight="1" s="68">
      <c r="K27" s="19" t="n"/>
    </row>
    <row r="28" ht="15.75" customHeight="1" s="68">
      <c r="K28" s="19" t="n"/>
    </row>
    <row r="29" ht="15.75" customHeight="1" s="68">
      <c r="K29" s="19" t="n"/>
    </row>
    <row r="30" ht="15.75" customHeight="1" s="68">
      <c r="K30" s="19" t="n"/>
    </row>
    <row r="31" ht="15.75" customHeight="1" s="68">
      <c r="K31" s="19" t="n"/>
    </row>
    <row r="32" ht="15.75" customHeight="1" s="68">
      <c r="K32" s="19" t="n"/>
    </row>
    <row r="33" ht="15.75" customHeight="1" s="68">
      <c r="K33" s="19" t="n"/>
    </row>
    <row r="34" ht="15.75" customHeight="1" s="68">
      <c r="K34" s="19" t="n"/>
    </row>
    <row r="35" ht="15.75" customHeight="1" s="68">
      <c r="K35" s="19" t="n"/>
    </row>
    <row r="36" ht="15.75" customHeight="1" s="68">
      <c r="K36" s="19" t="n"/>
    </row>
    <row r="37" ht="15.75" customHeight="1" s="68">
      <c r="K37" s="19" t="n"/>
    </row>
    <row r="38" ht="15.75" customHeight="1" s="68">
      <c r="K38" s="19" t="n"/>
    </row>
    <row r="39" ht="15.75" customHeight="1" s="68">
      <c r="K39" s="19" t="n"/>
    </row>
    <row r="40" ht="15.75" customHeight="1" s="68">
      <c r="K40" s="19" t="n"/>
    </row>
    <row r="41" ht="15.75" customHeight="1" s="68">
      <c r="K41" s="19" t="n"/>
    </row>
    <row r="42" ht="15.75" customHeight="1" s="68">
      <c r="K42" s="19" t="n"/>
    </row>
    <row r="43" ht="15.75" customHeight="1" s="68">
      <c r="K43" s="19" t="n"/>
    </row>
    <row r="44" ht="15.75" customHeight="1" s="68">
      <c r="K44" s="19" t="n"/>
    </row>
    <row r="45" ht="15.75" customHeight="1" s="68">
      <c r="K45" s="19" t="n"/>
    </row>
    <row r="46" ht="15.75" customHeight="1" s="68">
      <c r="K46" s="19" t="n"/>
    </row>
    <row r="47" ht="15.75" customHeight="1" s="68">
      <c r="K47" s="19" t="n"/>
    </row>
    <row r="48" ht="15.75" customHeight="1" s="68">
      <c r="K48" s="19" t="n"/>
    </row>
    <row r="49" ht="15.75" customHeight="1" s="68">
      <c r="K49" s="19" t="n"/>
    </row>
    <row r="50" ht="15.75" customHeight="1" s="68">
      <c r="K50" s="19" t="n"/>
    </row>
    <row r="51" ht="15.75" customHeight="1" s="68">
      <c r="K51" s="19" t="n"/>
    </row>
    <row r="52" ht="15.75" customHeight="1" s="68">
      <c r="K52" s="19" t="n"/>
    </row>
    <row r="53" ht="15.75" customHeight="1" s="68">
      <c r="K53" s="19" t="n"/>
    </row>
    <row r="54" ht="15.75" customHeight="1" s="68">
      <c r="K54" s="19" t="n"/>
    </row>
    <row r="55" ht="15.75" customHeight="1" s="68">
      <c r="K55" s="19" t="n"/>
    </row>
    <row r="56" ht="15.75" customHeight="1" s="68">
      <c r="K56" s="19" t="n"/>
    </row>
    <row r="57" ht="15.75" customHeight="1" s="68">
      <c r="K57" s="19" t="n"/>
    </row>
    <row r="58" ht="15.75" customHeight="1" s="68">
      <c r="K58" s="19" t="n"/>
    </row>
    <row r="59" ht="15.75" customHeight="1" s="68">
      <c r="K59" s="19" t="n"/>
    </row>
    <row r="60" ht="15.75" customHeight="1" s="68">
      <c r="K60" s="19" t="n"/>
    </row>
    <row r="61" ht="15.75" customHeight="1" s="68">
      <c r="K61" s="19" t="n"/>
    </row>
    <row r="62" ht="15.75" customHeight="1" s="68">
      <c r="K62" s="19" t="n"/>
    </row>
    <row r="63" ht="15.75" customHeight="1" s="68">
      <c r="K63" s="19" t="n"/>
    </row>
    <row r="64" ht="15.75" customHeight="1" s="68">
      <c r="K64" s="19" t="n"/>
    </row>
    <row r="65" ht="15.75" customHeight="1" s="68">
      <c r="K65" s="19" t="n"/>
    </row>
    <row r="66" ht="15.75" customHeight="1" s="68">
      <c r="K66" s="19" t="n"/>
    </row>
    <row r="67" ht="15.75" customHeight="1" s="68">
      <c r="K67" s="19" t="n"/>
    </row>
    <row r="68" ht="15.75" customHeight="1" s="68">
      <c r="K68" s="19" t="n"/>
    </row>
    <row r="69" ht="15.75" customHeight="1" s="68">
      <c r="K69" s="19" t="n"/>
    </row>
    <row r="70" ht="15.75" customHeight="1" s="68">
      <c r="K70" s="19" t="n"/>
    </row>
    <row r="71" ht="15.75" customHeight="1" s="68">
      <c r="K71" s="19" t="n"/>
    </row>
    <row r="72" ht="15.75" customHeight="1" s="68">
      <c r="K72" s="19" t="n"/>
    </row>
    <row r="73" ht="15.75" customHeight="1" s="68">
      <c r="K73" s="19" t="n"/>
    </row>
    <row r="74" ht="15.75" customHeight="1" s="68">
      <c r="K74" s="19" t="n"/>
    </row>
    <row r="75" ht="15.75" customHeight="1" s="68">
      <c r="K75" s="19" t="n"/>
    </row>
    <row r="76" ht="15.75" customHeight="1" s="68">
      <c r="K76" s="19" t="n"/>
    </row>
    <row r="77" ht="15.75" customHeight="1" s="68">
      <c r="K77" s="19" t="n"/>
    </row>
    <row r="78" ht="15.75" customHeight="1" s="68">
      <c r="K78" s="19" t="n"/>
    </row>
    <row r="79" ht="15.75" customHeight="1" s="68">
      <c r="K79" s="19" t="n"/>
    </row>
    <row r="80" ht="15.75" customHeight="1" s="68">
      <c r="K80" s="19" t="n"/>
    </row>
    <row r="81" ht="15.75" customHeight="1" s="68">
      <c r="K81" s="19" t="n"/>
    </row>
    <row r="82" ht="15.75" customHeight="1" s="68">
      <c r="K82" s="19" t="n"/>
    </row>
    <row r="83" ht="15.75" customHeight="1" s="68">
      <c r="K83" s="19" t="n"/>
    </row>
    <row r="84" ht="15.75" customHeight="1" s="68">
      <c r="K84" s="19" t="n"/>
    </row>
    <row r="85" ht="15.75" customHeight="1" s="68">
      <c r="K85" s="19" t="n"/>
    </row>
    <row r="86" ht="15.75" customHeight="1" s="68">
      <c r="K86" s="19" t="n"/>
    </row>
    <row r="87" ht="15.75" customHeight="1" s="68">
      <c r="K87" s="19" t="n"/>
    </row>
    <row r="88" ht="15.75" customHeight="1" s="68">
      <c r="K88" s="19" t="n"/>
    </row>
    <row r="89" ht="15.75" customHeight="1" s="68">
      <c r="K89" s="19" t="n"/>
    </row>
    <row r="90" ht="15.75" customHeight="1" s="68">
      <c r="K90" s="19" t="n"/>
    </row>
    <row r="91" ht="15.75" customHeight="1" s="68">
      <c r="K91" s="19" t="n"/>
    </row>
    <row r="92" ht="15.75" customHeight="1" s="68">
      <c r="K92" s="19" t="n"/>
    </row>
    <row r="93" ht="15.75" customHeight="1" s="68">
      <c r="K93" s="19" t="n"/>
    </row>
    <row r="94" ht="15.75" customHeight="1" s="68">
      <c r="K94" s="19" t="n"/>
    </row>
    <row r="95" ht="15.75" customHeight="1" s="68">
      <c r="K95" s="19" t="n"/>
    </row>
    <row r="96" ht="15.75" customHeight="1" s="68">
      <c r="K96" s="19" t="n"/>
    </row>
    <row r="97" ht="15.75" customHeight="1" s="68">
      <c r="K97" s="19" t="n"/>
    </row>
    <row r="98" ht="15.75" customHeight="1" s="68">
      <c r="K98" s="19" t="n"/>
    </row>
    <row r="99" ht="15.75" customHeight="1" s="68">
      <c r="K99" s="19" t="n"/>
    </row>
    <row r="100" ht="15.75" customHeight="1" s="68">
      <c r="K100" s="19" t="n"/>
    </row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mergeCells count="18">
    <mergeCell ref="I2:I4"/>
    <mergeCell ref="D2:E2"/>
    <mergeCell ref="A2:A4"/>
    <mergeCell ref="G2:H2"/>
    <mergeCell ref="C2:C4"/>
    <mergeCell ref="G3:G4"/>
    <mergeCell ref="F2:F4"/>
    <mergeCell ref="E3:E4"/>
    <mergeCell ref="H3:H4"/>
    <mergeCell ref="J2:J4"/>
    <mergeCell ref="N2:N4"/>
    <mergeCell ref="D3:D4"/>
    <mergeCell ref="K2:K4"/>
    <mergeCell ref="O2:O4"/>
    <mergeCell ref="L2:L4"/>
    <mergeCell ref="B2:B4"/>
    <mergeCell ref="M2:M4"/>
    <mergeCell ref="A1:N1"/>
  </mergeCells>
  <pageMargins left="0.7" right="0.7" top="0.75" bottom="0.75" header="0" footer="0"/>
  <pageSetup orientation="landscape" paperSize="9"/>
  <headerFooter>
    <oddHeader/>
    <oddFooter>&amp;L&amp;F&amp;F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DBT1</dc:creator>
  <dcterms:created xsi:type="dcterms:W3CDTF">2024-06-17T01:07:54Z</dcterms:created>
  <dcterms:modified xsi:type="dcterms:W3CDTF">2026-06-14T07:34:58Z</dcterms:modified>
  <cp:lastModifiedBy>sricharan cholleti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ba2e3cc0e8d54fa9af79319d86eb024e</vt:lpwstr>
  </property>
</Properties>
</file>
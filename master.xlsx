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 levels Major" sheetId="1" r:id="rId4"/>
    <sheet state="visible" name="Sheet1" sheetId="2" r:id="rId5"/>
    <sheet state="hidden" name="Water levels 18.01.2018 CE  (2)" sheetId="3" r:id="rId6"/>
  </sheets>
  <definedNames/>
  <calcPr/>
  <extLst>
    <ext uri="GoogleSheetsCustomDataVersion2">
      <go:sheetsCustomData xmlns:go="http://customooxmlschemas.google.com/" r:id="rId7" roundtripDataChecksum="OXV/zoqaEnNrfpeDh7LI8Fcum4wGlFokD86/ragGjD4="/>
    </ext>
  </extLst>
</workbook>
</file>

<file path=xl/sharedStrings.xml><?xml version="1.0" encoding="utf-8"?>
<sst xmlns="http://schemas.openxmlformats.org/spreadsheetml/2006/main" count="154" uniqueCount="130">
  <si>
    <t>DAILY WATER LEVELS IN RESERVOIRS UNDER IRRIGATIOIN CIRCLE, JANGAON
DATED: 12.06.2026</t>
  </si>
  <si>
    <t>Sl No</t>
  </si>
  <si>
    <t>Name of the Reservoir</t>
  </si>
  <si>
    <t>Location</t>
  </si>
  <si>
    <t>District</t>
  </si>
  <si>
    <t>FRL</t>
  </si>
  <si>
    <t>Present Level</t>
  </si>
  <si>
    <t>Inflow In cusecs</t>
  </si>
  <si>
    <t>Outflow in Cusecs</t>
  </si>
  <si>
    <t>Rain Fall in mm</t>
  </si>
  <si>
    <t>Percentage of Filling</t>
  </si>
  <si>
    <t xml:space="preserve">Remarks </t>
  </si>
  <si>
    <t>Ayacut in Acrs</t>
  </si>
  <si>
    <t>Inflows</t>
  </si>
  <si>
    <t>Outflows</t>
  </si>
  <si>
    <t>Level in Mtrs</t>
  </si>
  <si>
    <t>Gross capacity in MCFT</t>
  </si>
  <si>
    <t>Gross capacity in TMC</t>
  </si>
  <si>
    <t xml:space="preserve">Gandiramaram </t>
  </si>
  <si>
    <t>Gandiramaram(V), Narmetta(M)</t>
  </si>
  <si>
    <t>Jangaon</t>
  </si>
  <si>
    <t>+422.000</t>
  </si>
  <si>
    <t>+335.600</t>
  </si>
  <si>
    <t>+417.260</t>
  </si>
  <si>
    <t xml:space="preserve">Bommakur </t>
  </si>
  <si>
    <t>Bommakur(V), Narmetta(M)</t>
  </si>
  <si>
    <t>+475.000</t>
  </si>
  <si>
    <t>+469.700</t>
  </si>
  <si>
    <t xml:space="preserve">Cheetakodur </t>
  </si>
  <si>
    <t>Cheetakodur(V), Jangaon(M)</t>
  </si>
  <si>
    <t>+389.000</t>
  </si>
  <si>
    <t>+387.450</t>
  </si>
  <si>
    <t>Nawabpet</t>
  </si>
  <si>
    <t>Nawabpet(V), Lingalaghanpur (M)</t>
  </si>
  <si>
    <t>+328.800</t>
  </si>
  <si>
    <t>+323.700</t>
  </si>
  <si>
    <t xml:space="preserve">R.S. Ghanpur </t>
  </si>
  <si>
    <t xml:space="preserve">Station Ghanpur (V) &amp; (M) </t>
  </si>
  <si>
    <t>+338.215</t>
  </si>
  <si>
    <t>+335.100</t>
  </si>
  <si>
    <t xml:space="preserve">Inflow 0 Cumecs  Outflow : 3.00 Cumecs(Pumping to Ashwaraopally Reservoir) </t>
  </si>
  <si>
    <t xml:space="preserve">Ashwaraopally </t>
  </si>
  <si>
    <t>Ashwaraopally(V), Raghunathpally(M)</t>
  </si>
  <si>
    <t>+400.000</t>
  </si>
  <si>
    <t>+394.330</t>
  </si>
  <si>
    <t>Inflow 0 Cumecs                 Out flow : 2 cusecs</t>
  </si>
  <si>
    <t>Kanneboinagudem Tank</t>
  </si>
  <si>
    <t>Kannaboinagudem(V), Narmetta(M)</t>
  </si>
  <si>
    <t>+500.00</t>
  </si>
  <si>
    <t>+498.750</t>
  </si>
  <si>
    <t>Veldanda Tank</t>
  </si>
  <si>
    <t>Veldanda (V), Jangaon(M)</t>
  </si>
  <si>
    <t>+480.00</t>
  </si>
  <si>
    <t>+478.500</t>
  </si>
  <si>
    <t>Nil</t>
  </si>
  <si>
    <t>JANGAON District TOTAL</t>
  </si>
  <si>
    <t>Tapaspally</t>
  </si>
  <si>
    <t>Siddipet</t>
  </si>
  <si>
    <t>+535.600</t>
  </si>
  <si>
    <t>Laddunoor Tank</t>
  </si>
  <si>
    <t>Ladnoor(V), Maddhur (M)</t>
  </si>
  <si>
    <t>+480.000</t>
  </si>
  <si>
    <t>+479.850</t>
  </si>
  <si>
    <t>Inapur Tank</t>
  </si>
  <si>
    <t>Inapur (V), Komuravelli(M)</t>
  </si>
  <si>
    <t>+518.500</t>
  </si>
  <si>
    <t>Maa Reddy Cheruvu</t>
  </si>
  <si>
    <t>Nagapuri (V), Cherial (M)</t>
  </si>
  <si>
    <t>+527.000</t>
  </si>
  <si>
    <t>+525.800</t>
  </si>
  <si>
    <t>Mylaram Balancing Reservoir</t>
  </si>
  <si>
    <t xml:space="preserve">Mylaram(V), Rayaparthi (M) </t>
  </si>
  <si>
    <t>Warangal</t>
  </si>
  <si>
    <t>+250.500</t>
  </si>
  <si>
    <t>+247.400</t>
  </si>
  <si>
    <t>TOTAL</t>
  </si>
  <si>
    <t xml:space="preserve">   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</si>
  <si>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2.0"/>
      </rPr>
      <t>Superintending Engineer, I&amp;CADD
Irrigation Circle, Jangaon</t>
    </r>
  </si>
  <si>
    <t xml:space="preserve"> </t>
  </si>
  <si>
    <t>DAILY WATER LEVELS IN MEDIUM IRRIGATION PROJECT UNDER IRRIGATIOIN CIRCLE, WARANGAL 
DATED: 11.04.2018</t>
  </si>
  <si>
    <t>Name of the Project</t>
  </si>
  <si>
    <t>Total Ayacut in Acres</t>
  </si>
  <si>
    <t>Sill Level</t>
  </si>
  <si>
    <t>Maximum Depth of Water above sill in Mtrs</t>
  </si>
  <si>
    <t>Total Depth of water above sill level in Feet</t>
  </si>
  <si>
    <t xml:space="preserve">Depth of water in Feet to day </t>
  </si>
  <si>
    <t>Live water available in MCFT to day</t>
  </si>
  <si>
    <t>Transplantation</t>
  </si>
  <si>
    <t>Levels in Mtrs</t>
  </si>
  <si>
    <t>Dead storage in MCFT</t>
  </si>
  <si>
    <t>Pakhal Lake</t>
  </si>
  <si>
    <t>+243.71</t>
  </si>
  <si>
    <t>+253.92</t>
  </si>
  <si>
    <t>30'-3"</t>
  </si>
  <si>
    <t>10' -3"</t>
  </si>
  <si>
    <t>Laknavaram Lake</t>
  </si>
  <si>
    <t>+174.52</t>
  </si>
  <si>
    <t>+185.00</t>
  </si>
  <si>
    <t>34'-4"</t>
  </si>
  <si>
    <t>19' - 10"</t>
  </si>
  <si>
    <t>Ramappa Lake</t>
  </si>
  <si>
    <t>+198.71</t>
  </si>
  <si>
    <t>NIL</t>
  </si>
  <si>
    <t>+209.38</t>
  </si>
  <si>
    <t>35'-0"</t>
  </si>
  <si>
    <t>23' -00"</t>
  </si>
  <si>
    <t>Malluruvagu Project</t>
  </si>
  <si>
    <t>+107</t>
  </si>
  <si>
    <t>27'-0"</t>
  </si>
  <si>
    <t>5' -00"</t>
  </si>
  <si>
    <t>Boggulavagu</t>
  </si>
  <si>
    <t>+151.18</t>
  </si>
  <si>
    <t>+159.41</t>
  </si>
  <si>
    <t>27'-.00"</t>
  </si>
  <si>
    <t>2'-0"</t>
  </si>
  <si>
    <t>Palam vagu</t>
  </si>
  <si>
    <t>+102.20</t>
  </si>
  <si>
    <t>+132.5</t>
  </si>
  <si>
    <t>99'-4"</t>
  </si>
  <si>
    <t>65'-53"</t>
  </si>
  <si>
    <t xml:space="preserve"> L.T Bayyaram</t>
  </si>
  <si>
    <t>+190.50</t>
  </si>
  <si>
    <t>+195.38</t>
  </si>
  <si>
    <t>16'-0"</t>
  </si>
  <si>
    <t>12'-0"</t>
  </si>
  <si>
    <t>Gundlavagu</t>
  </si>
  <si>
    <t>+105.45</t>
  </si>
  <si>
    <t>+116.70</t>
  </si>
  <si>
    <t>36'-10"</t>
  </si>
  <si>
    <t>0'-0"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</si>
</sst>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sz val="12.0"/>
      <color rgb="FF000000"/>
      <name val="Arial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8" fillId="0" fontId="2" numFmtId="2" xfId="0" applyAlignment="1" applyBorder="1" applyFont="1" applyNumberFormat="1">
      <alignment horizontal="center" shrinkToFit="0" vertical="center" wrapText="1"/>
    </xf>
    <xf quotePrefix="1" borderId="8" fillId="0" fontId="2" numFmtId="0" xfId="0" applyAlignment="1" applyBorder="1" applyFont="1">
      <alignment horizontal="center" shrinkToFit="0" vertical="center" wrapText="1"/>
    </xf>
    <xf quotePrefix="1" borderId="8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2" numFmtId="165" xfId="0" applyAlignment="1" applyBorder="1" applyFont="1" applyNumberFormat="1">
      <alignment horizontal="center" shrinkToFit="0" vertical="center" wrapText="1"/>
    </xf>
    <xf borderId="9" fillId="0" fontId="2" numFmtId="2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2" numFmtId="2" xfId="0" applyAlignment="1" applyBorder="1" applyFont="1" applyNumberFormat="1">
      <alignment horizontal="center" shrinkToFit="0" vertical="center" wrapText="1"/>
    </xf>
    <xf borderId="8" fillId="0" fontId="7" numFmtId="2" xfId="0" applyAlignment="1" applyBorder="1" applyFont="1" applyNumberFormat="1">
      <alignment horizontal="center" shrinkToFit="0" vertical="center" wrapText="1"/>
    </xf>
    <xf borderId="0" fillId="0" fontId="7" numFmtId="2" xfId="0" applyAlignment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8" fillId="0" fontId="1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center" vertical="center"/>
    </xf>
    <xf borderId="8" fillId="2" fontId="2" numFmtId="2" xfId="0" applyAlignment="1" applyBorder="1" applyFont="1" applyNumberFormat="1">
      <alignment horizontal="center" shrinkToFit="0" vertical="center" wrapText="1"/>
    </xf>
    <xf borderId="8" fillId="2" fontId="2" numFmtId="1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8" fillId="0" fontId="2" numFmtId="2" xfId="0" applyAlignment="1" applyBorder="1" applyFont="1" applyNumberFormat="1">
      <alignment horizontal="center" vertical="center"/>
    </xf>
    <xf borderId="10" fillId="2" fontId="2" numFmtId="0" xfId="0" applyAlignment="1" applyBorder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0"/>
    <col customWidth="1" min="2" max="2" width="20.38"/>
    <col customWidth="1" min="3" max="3" width="23.0"/>
    <col customWidth="1" min="4" max="4" width="10.75"/>
    <col customWidth="1" min="5" max="5" width="10.0"/>
    <col customWidth="1" min="6" max="7" width="10.88"/>
    <col customWidth="1" min="8" max="8" width="9.88"/>
    <col customWidth="1" hidden="1" min="9" max="11" width="13.88"/>
    <col customWidth="1" min="12" max="12" width="10.63"/>
    <col customWidth="1" min="13" max="13" width="11.38"/>
    <col customWidth="1" min="14" max="14" width="11.13"/>
    <col customWidth="1" hidden="1" min="15" max="15" width="10.88"/>
    <col customWidth="1" hidden="1" min="16" max="16" width="9.13"/>
    <col customWidth="1" hidden="1" min="17" max="17" width="20.63"/>
    <col customWidth="1" min="18" max="18" width="20.63"/>
    <col customWidth="1" min="19" max="29" width="14.38"/>
  </cols>
  <sheetData>
    <row r="1" ht="39.75" customHeight="1">
      <c r="A1" s="1" t="s">
        <v>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5" t="s">
        <v>6</v>
      </c>
      <c r="H2" s="6"/>
      <c r="I2" s="4" t="s">
        <v>7</v>
      </c>
      <c r="J2" s="4" t="s">
        <v>8</v>
      </c>
      <c r="K2" s="4" t="s">
        <v>9</v>
      </c>
      <c r="L2" s="5"/>
      <c r="M2" s="4" t="s">
        <v>10</v>
      </c>
      <c r="N2" s="4" t="s">
        <v>11</v>
      </c>
      <c r="O2" s="7" t="s">
        <v>12</v>
      </c>
      <c r="P2" s="8" t="s">
        <v>13</v>
      </c>
      <c r="Q2" s="8" t="s">
        <v>14</v>
      </c>
      <c r="R2" s="9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0"/>
      <c r="B3" s="10"/>
      <c r="C3" s="10"/>
      <c r="D3" s="10"/>
      <c r="E3" s="4" t="s">
        <v>15</v>
      </c>
      <c r="F3" s="4" t="s">
        <v>16</v>
      </c>
      <c r="G3" s="4" t="s">
        <v>15</v>
      </c>
      <c r="H3" s="4" t="s">
        <v>16</v>
      </c>
      <c r="I3" s="10"/>
      <c r="J3" s="10"/>
      <c r="K3" s="10"/>
      <c r="L3" s="4" t="s">
        <v>17</v>
      </c>
      <c r="M3" s="10"/>
      <c r="N3" s="10"/>
      <c r="P3" s="10"/>
      <c r="Q3" s="10"/>
      <c r="R3" s="9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6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12"/>
      <c r="Q4" s="12"/>
      <c r="R4" s="9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7.75" customHeight="1">
      <c r="A5" s="13">
        <v>1.0</v>
      </c>
      <c r="B5" s="14" t="s">
        <v>18</v>
      </c>
      <c r="C5" s="14" t="s">
        <v>19</v>
      </c>
      <c r="D5" s="14" t="s">
        <v>20</v>
      </c>
      <c r="E5" s="15" t="s">
        <v>21</v>
      </c>
      <c r="F5" s="16" t="s">
        <v>22</v>
      </c>
      <c r="G5" s="17" t="s">
        <v>23</v>
      </c>
      <c r="H5" s="18">
        <v>207.5</v>
      </c>
      <c r="I5" s="19">
        <f t="shared" ref="I5:I10" si="1">E5/1000</f>
        <v>0.422</v>
      </c>
      <c r="J5" s="15" t="str">
        <f t="shared" ref="J5:J10" si="2">(E5/B5)*100</f>
        <v>#VALUE!</v>
      </c>
      <c r="K5" s="20">
        <v>0.0</v>
      </c>
      <c r="L5" s="19">
        <f t="shared" ref="L5:L12" si="3">H5/1000</f>
        <v>0.2075</v>
      </c>
      <c r="M5" s="15">
        <f t="shared" ref="M5:M12" si="4">(H5/F5)*100</f>
        <v>61.829559</v>
      </c>
      <c r="N5" s="15"/>
      <c r="O5" s="21">
        <v>4000.0</v>
      </c>
      <c r="P5" s="22">
        <v>0.0</v>
      </c>
      <c r="Q5" s="22">
        <v>0.0</v>
      </c>
      <c r="R5" s="9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7.75" customHeight="1">
      <c r="A6" s="13">
        <v>2.0</v>
      </c>
      <c r="B6" s="14" t="s">
        <v>24</v>
      </c>
      <c r="C6" s="14" t="s">
        <v>25</v>
      </c>
      <c r="D6" s="14" t="s">
        <v>20</v>
      </c>
      <c r="E6" s="15" t="s">
        <v>26</v>
      </c>
      <c r="F6" s="19">
        <v>198.0</v>
      </c>
      <c r="G6" s="17" t="s">
        <v>27</v>
      </c>
      <c r="H6" s="18">
        <v>70.19</v>
      </c>
      <c r="I6" s="19">
        <f t="shared" si="1"/>
        <v>0.475</v>
      </c>
      <c r="J6" s="15" t="str">
        <f t="shared" si="2"/>
        <v>#VALUE!</v>
      </c>
      <c r="K6" s="20">
        <v>0.0</v>
      </c>
      <c r="L6" s="19">
        <f t="shared" si="3"/>
        <v>0.07019</v>
      </c>
      <c r="M6" s="15">
        <f t="shared" si="4"/>
        <v>35.44949495</v>
      </c>
      <c r="N6" s="15"/>
      <c r="O6" s="21">
        <v>31000.0</v>
      </c>
      <c r="P6" s="22">
        <v>0.0</v>
      </c>
      <c r="Q6" s="22">
        <v>0.0</v>
      </c>
      <c r="R6" s="9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7.75" customHeight="1">
      <c r="A7" s="13">
        <v>3.0</v>
      </c>
      <c r="B7" s="14" t="s">
        <v>28</v>
      </c>
      <c r="C7" s="14" t="s">
        <v>29</v>
      </c>
      <c r="D7" s="14" t="s">
        <v>20</v>
      </c>
      <c r="E7" s="15" t="s">
        <v>30</v>
      </c>
      <c r="F7" s="19">
        <v>300.258</v>
      </c>
      <c r="G7" s="17" t="s">
        <v>31</v>
      </c>
      <c r="H7" s="18">
        <v>193.14</v>
      </c>
      <c r="I7" s="19">
        <f t="shared" si="1"/>
        <v>0.389</v>
      </c>
      <c r="J7" s="15" t="str">
        <f t="shared" si="2"/>
        <v>#VALUE!</v>
      </c>
      <c r="K7" s="20">
        <v>0.0</v>
      </c>
      <c r="L7" s="19">
        <f t="shared" si="3"/>
        <v>0.19314</v>
      </c>
      <c r="M7" s="15">
        <f t="shared" si="4"/>
        <v>64.32468077</v>
      </c>
      <c r="N7" s="15"/>
      <c r="O7" s="21">
        <v>26955.0</v>
      </c>
      <c r="P7" s="22">
        <v>0.0</v>
      </c>
      <c r="Q7" s="22">
        <v>0.0</v>
      </c>
      <c r="R7" s="9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7.75" customHeight="1">
      <c r="A8" s="13">
        <v>4.0</v>
      </c>
      <c r="B8" s="14" t="s">
        <v>32</v>
      </c>
      <c r="C8" s="23" t="s">
        <v>33</v>
      </c>
      <c r="D8" s="14" t="s">
        <v>20</v>
      </c>
      <c r="E8" s="15" t="s">
        <v>34</v>
      </c>
      <c r="F8" s="19">
        <v>550.51</v>
      </c>
      <c r="G8" s="16" t="s">
        <v>35</v>
      </c>
      <c r="H8" s="19">
        <v>134.6</v>
      </c>
      <c r="I8" s="19">
        <f t="shared" si="1"/>
        <v>0.3288</v>
      </c>
      <c r="J8" s="15" t="str">
        <f t="shared" si="2"/>
        <v>#VALUE!</v>
      </c>
      <c r="K8" s="13">
        <v>0.0</v>
      </c>
      <c r="L8" s="19">
        <f t="shared" si="3"/>
        <v>0.1346</v>
      </c>
      <c r="M8" s="15">
        <f t="shared" si="4"/>
        <v>24.4500554</v>
      </c>
      <c r="N8" s="15"/>
      <c r="O8" s="21">
        <v>53400.0</v>
      </c>
      <c r="P8" s="22">
        <v>0.0</v>
      </c>
      <c r="Q8" s="24"/>
      <c r="R8" s="25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7.75" customHeight="1">
      <c r="A9" s="13">
        <v>5.0</v>
      </c>
      <c r="B9" s="14" t="s">
        <v>36</v>
      </c>
      <c r="C9" s="23" t="s">
        <v>37</v>
      </c>
      <c r="D9" s="14" t="s">
        <v>20</v>
      </c>
      <c r="E9" s="15" t="s">
        <v>38</v>
      </c>
      <c r="F9" s="19">
        <v>1570.0</v>
      </c>
      <c r="G9" s="17" t="s">
        <v>39</v>
      </c>
      <c r="H9" s="18">
        <v>636.0</v>
      </c>
      <c r="I9" s="19">
        <f t="shared" si="1"/>
        <v>0.338215</v>
      </c>
      <c r="J9" s="15" t="str">
        <f t="shared" si="2"/>
        <v>#VALUE!</v>
      </c>
      <c r="K9" s="13"/>
      <c r="L9" s="19">
        <f t="shared" si="3"/>
        <v>0.636</v>
      </c>
      <c r="M9" s="15">
        <f t="shared" si="4"/>
        <v>40.50955414</v>
      </c>
      <c r="N9" s="15"/>
      <c r="O9" s="26">
        <v>28200.0</v>
      </c>
      <c r="P9" s="22">
        <v>0.0</v>
      </c>
      <c r="Q9" s="27" t="s">
        <v>40</v>
      </c>
      <c r="R9" s="28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7.75" customHeight="1">
      <c r="A10" s="13">
        <v>6.0</v>
      </c>
      <c r="B10" s="14" t="s">
        <v>41</v>
      </c>
      <c r="C10" s="23" t="s">
        <v>42</v>
      </c>
      <c r="D10" s="14" t="s">
        <v>20</v>
      </c>
      <c r="E10" s="15" t="s">
        <v>43</v>
      </c>
      <c r="F10" s="19">
        <v>740.0</v>
      </c>
      <c r="G10" s="17" t="s">
        <v>44</v>
      </c>
      <c r="H10" s="18">
        <v>225.0</v>
      </c>
      <c r="I10" s="19">
        <f t="shared" si="1"/>
        <v>0.4</v>
      </c>
      <c r="J10" s="15" t="str">
        <f t="shared" si="2"/>
        <v>#VALUE!</v>
      </c>
      <c r="K10" s="13"/>
      <c r="L10" s="19">
        <f t="shared" si="3"/>
        <v>0.225</v>
      </c>
      <c r="M10" s="15">
        <f t="shared" si="4"/>
        <v>30.40540541</v>
      </c>
      <c r="N10" s="15"/>
      <c r="O10" s="21">
        <v>56100.0</v>
      </c>
      <c r="P10" s="22">
        <v>0.0</v>
      </c>
      <c r="Q10" s="24" t="s">
        <v>45</v>
      </c>
      <c r="R10" s="2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7.75" customHeight="1">
      <c r="A11" s="13">
        <v>7.0</v>
      </c>
      <c r="B11" s="14" t="s">
        <v>46</v>
      </c>
      <c r="C11" s="29" t="s">
        <v>47</v>
      </c>
      <c r="D11" s="14" t="s">
        <v>20</v>
      </c>
      <c r="E11" s="15" t="s">
        <v>48</v>
      </c>
      <c r="F11" s="19">
        <v>120.0</v>
      </c>
      <c r="G11" s="16" t="s">
        <v>49</v>
      </c>
      <c r="H11" s="19">
        <v>96.49</v>
      </c>
      <c r="I11" s="19">
        <v>337.42</v>
      </c>
      <c r="J11" s="13">
        <v>178.66</v>
      </c>
      <c r="K11" s="20">
        <v>0.0</v>
      </c>
      <c r="L11" s="19">
        <f t="shared" si="3"/>
        <v>0.09649</v>
      </c>
      <c r="M11" s="15">
        <f t="shared" si="4"/>
        <v>80.40833333</v>
      </c>
      <c r="N11" s="15"/>
      <c r="O11" s="21"/>
      <c r="P11" s="22"/>
      <c r="Q11" s="22"/>
      <c r="R11" s="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7.75" customHeight="1">
      <c r="A12" s="13">
        <v>8.0</v>
      </c>
      <c r="B12" s="14" t="s">
        <v>50</v>
      </c>
      <c r="C12" s="29" t="s">
        <v>51</v>
      </c>
      <c r="D12" s="14" t="s">
        <v>20</v>
      </c>
      <c r="E12" s="15" t="s">
        <v>52</v>
      </c>
      <c r="F12" s="19">
        <v>150.0</v>
      </c>
      <c r="G12" s="16" t="s">
        <v>53</v>
      </c>
      <c r="H12" s="19">
        <v>112.95</v>
      </c>
      <c r="I12" s="19">
        <v>88.275</v>
      </c>
      <c r="J12" s="13" t="s">
        <v>54</v>
      </c>
      <c r="K12" s="20">
        <v>0.0</v>
      </c>
      <c r="L12" s="19">
        <f t="shared" si="3"/>
        <v>0.11295</v>
      </c>
      <c r="M12" s="15">
        <f t="shared" si="4"/>
        <v>75.3</v>
      </c>
      <c r="N12" s="15"/>
      <c r="O12" s="21"/>
      <c r="P12" s="22"/>
      <c r="Q12" s="22"/>
      <c r="R12" s="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7.75" customHeight="1">
      <c r="A13" s="30"/>
      <c r="B13" s="31" t="s">
        <v>55</v>
      </c>
      <c r="C13" s="32"/>
      <c r="D13" s="32"/>
      <c r="E13" s="6"/>
      <c r="F13" s="33">
        <f>SUM(F5:F12)</f>
        <v>3628.768</v>
      </c>
      <c r="G13" s="34"/>
      <c r="H13" s="35"/>
      <c r="I13" s="36"/>
      <c r="J13" s="36"/>
      <c r="K13" s="36"/>
      <c r="L13" s="33">
        <f>SUM(L5:L12)</f>
        <v>1.67587</v>
      </c>
      <c r="M13" s="30"/>
      <c r="N13" s="30"/>
      <c r="O13" s="3"/>
      <c r="P13" s="37"/>
      <c r="Q13" s="37"/>
      <c r="R13" s="3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7.75" customHeight="1">
      <c r="A14" s="13">
        <v>9.0</v>
      </c>
      <c r="B14" s="14" t="s">
        <v>56</v>
      </c>
      <c r="C14" s="14" t="s">
        <v>56</v>
      </c>
      <c r="D14" s="14" t="s">
        <v>57</v>
      </c>
      <c r="E14" s="16" t="s">
        <v>58</v>
      </c>
      <c r="F14" s="19">
        <v>300.469</v>
      </c>
      <c r="G14" s="16" t="s">
        <v>58</v>
      </c>
      <c r="H14" s="19">
        <v>100.469</v>
      </c>
      <c r="I14" s="19">
        <f>E14/1000</f>
        <v>0.5356</v>
      </c>
      <c r="J14" s="15" t="str">
        <f>(E14/B14)*100</f>
        <v>#VALUE!</v>
      </c>
      <c r="K14" s="13"/>
      <c r="L14" s="19">
        <f t="shared" ref="L14:L18" si="5">H14/1000</f>
        <v>0.100469</v>
      </c>
      <c r="M14" s="15">
        <f t="shared" ref="M14:M18" si="6">(H14/F14)*100</f>
        <v>33.43739288</v>
      </c>
      <c r="N14" s="15"/>
      <c r="O14" s="38"/>
      <c r="P14" s="9"/>
      <c r="Q14" s="25"/>
      <c r="R14" s="2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7.75" customHeight="1">
      <c r="A15" s="13">
        <v>10.0</v>
      </c>
      <c r="B15" s="14" t="s">
        <v>59</v>
      </c>
      <c r="C15" s="29" t="s">
        <v>60</v>
      </c>
      <c r="D15" s="14" t="s">
        <v>57</v>
      </c>
      <c r="E15" s="16" t="s">
        <v>61</v>
      </c>
      <c r="F15" s="19">
        <v>296.0</v>
      </c>
      <c r="G15" s="16" t="s">
        <v>62</v>
      </c>
      <c r="H15" s="19">
        <v>272.45</v>
      </c>
      <c r="I15" s="19">
        <v>247.17</v>
      </c>
      <c r="J15" s="15">
        <v>337.422</v>
      </c>
      <c r="K15" s="20">
        <v>0.0</v>
      </c>
      <c r="L15" s="19">
        <f t="shared" si="5"/>
        <v>0.27245</v>
      </c>
      <c r="M15" s="15">
        <f t="shared" si="6"/>
        <v>92.04391892</v>
      </c>
      <c r="N15" s="15"/>
      <c r="O15" s="21"/>
      <c r="P15" s="22"/>
      <c r="Q15" s="22"/>
      <c r="R15" s="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7.75" customHeight="1">
      <c r="A16" s="13">
        <v>11.0</v>
      </c>
      <c r="B16" s="14" t="s">
        <v>63</v>
      </c>
      <c r="C16" s="29" t="s">
        <v>64</v>
      </c>
      <c r="D16" s="14" t="s">
        <v>57</v>
      </c>
      <c r="E16" s="16" t="s">
        <v>65</v>
      </c>
      <c r="F16" s="19">
        <v>122.0</v>
      </c>
      <c r="G16" s="16" t="s">
        <v>65</v>
      </c>
      <c r="H16" s="19">
        <v>118.887</v>
      </c>
      <c r="I16" s="19">
        <v>88.275</v>
      </c>
      <c r="J16" s="13" t="s">
        <v>54</v>
      </c>
      <c r="K16" s="20">
        <v>0.0</v>
      </c>
      <c r="L16" s="19">
        <f t="shared" si="5"/>
        <v>0.118887</v>
      </c>
      <c r="M16" s="15">
        <f t="shared" si="6"/>
        <v>97.44836066</v>
      </c>
      <c r="N16" s="15"/>
      <c r="O16" s="21"/>
      <c r="P16" s="22"/>
      <c r="Q16" s="22"/>
      <c r="R16" s="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7.75" customHeight="1">
      <c r="A17" s="13">
        <v>12.0</v>
      </c>
      <c r="B17" s="14" t="s">
        <v>66</v>
      </c>
      <c r="C17" s="29" t="s">
        <v>67</v>
      </c>
      <c r="D17" s="14" t="s">
        <v>57</v>
      </c>
      <c r="E17" s="16" t="s">
        <v>68</v>
      </c>
      <c r="F17" s="19">
        <v>130.0</v>
      </c>
      <c r="G17" s="16" t="s">
        <v>69</v>
      </c>
      <c r="H17" s="19">
        <v>97.362</v>
      </c>
      <c r="I17" s="19">
        <v>88.275</v>
      </c>
      <c r="J17" s="13" t="s">
        <v>54</v>
      </c>
      <c r="K17" s="20">
        <v>0.0</v>
      </c>
      <c r="L17" s="19">
        <f t="shared" si="5"/>
        <v>0.097362</v>
      </c>
      <c r="M17" s="15">
        <f t="shared" si="6"/>
        <v>74.89384615</v>
      </c>
      <c r="N17" s="15"/>
      <c r="O17" s="21"/>
      <c r="P17" s="22"/>
      <c r="Q17" s="22"/>
      <c r="R17" s="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7.75" customHeight="1">
      <c r="A18" s="13">
        <v>13.0</v>
      </c>
      <c r="B18" s="14" t="s">
        <v>70</v>
      </c>
      <c r="C18" s="23" t="s">
        <v>71</v>
      </c>
      <c r="D18" s="14" t="s">
        <v>72</v>
      </c>
      <c r="E18" s="16" t="s">
        <v>73</v>
      </c>
      <c r="F18" s="19">
        <v>867.0</v>
      </c>
      <c r="G18" s="17" t="s">
        <v>74</v>
      </c>
      <c r="H18" s="18">
        <v>356.0</v>
      </c>
      <c r="I18" s="19">
        <f>E18/1000</f>
        <v>0.2505</v>
      </c>
      <c r="J18" s="15" t="str">
        <f>(E18/B18)*100</f>
        <v>#VALUE!</v>
      </c>
      <c r="K18" s="39"/>
      <c r="L18" s="19">
        <f t="shared" si="5"/>
        <v>0.356</v>
      </c>
      <c r="M18" s="15">
        <f t="shared" si="6"/>
        <v>41.06113033</v>
      </c>
      <c r="N18" s="15"/>
      <c r="O18" s="37"/>
      <c r="P18" s="37"/>
      <c r="Q18" s="37"/>
      <c r="R18" s="37"/>
      <c r="S18" s="3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ht="24.0" customHeight="1">
      <c r="A19" s="30"/>
      <c r="B19" s="31" t="s">
        <v>75</v>
      </c>
      <c r="C19" s="32"/>
      <c r="D19" s="32"/>
      <c r="E19" s="6"/>
      <c r="F19" s="33">
        <f>SUM(F14:F18)+F13</f>
        <v>5344.237</v>
      </c>
      <c r="G19" s="34" t="s">
        <v>76</v>
      </c>
      <c r="H19" s="35"/>
      <c r="I19" s="36"/>
      <c r="J19" s="36"/>
      <c r="K19" s="36"/>
      <c r="L19" s="33">
        <f>SUM(L14:L18)+L13</f>
        <v>2.621038</v>
      </c>
      <c r="M19" s="30"/>
      <c r="N19" s="30"/>
      <c r="O19" s="3"/>
      <c r="P19" s="37"/>
      <c r="Q19" s="37"/>
      <c r="R19" s="3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40" t="s">
        <v>77</v>
      </c>
      <c r="I20" s="41"/>
      <c r="J20" s="41"/>
      <c r="K20" s="41"/>
      <c r="L20" s="41"/>
      <c r="M20" s="41"/>
      <c r="N20" s="41"/>
      <c r="O20" s="41"/>
      <c r="P20" s="37"/>
      <c r="Q20" s="37"/>
      <c r="R20" s="3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P21" s="37"/>
      <c r="Q21" s="37"/>
      <c r="R21" s="3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P22" s="37"/>
      <c r="Q22" s="37"/>
      <c r="R22" s="3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P23" s="37"/>
      <c r="Q23" s="37"/>
      <c r="R23" s="3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P24" s="37"/>
      <c r="Q24" s="37"/>
      <c r="R24" s="3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7"/>
      <c r="Q25" s="37"/>
      <c r="R25" s="3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7"/>
      <c r="Q26" s="37"/>
      <c r="R26" s="3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7"/>
      <c r="Q27" s="37"/>
      <c r="R27" s="3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7"/>
      <c r="Q28" s="37"/>
      <c r="R28" s="3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7"/>
      <c r="Q29" s="37"/>
      <c r="R29" s="3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 t="s">
        <v>78</v>
      </c>
      <c r="H30" s="3"/>
      <c r="I30" s="3"/>
      <c r="J30" s="3"/>
      <c r="K30" s="3"/>
      <c r="L30" s="3"/>
      <c r="M30" s="3"/>
      <c r="N30" s="3"/>
      <c r="O30" s="3"/>
      <c r="P30" s="37"/>
      <c r="Q30" s="37"/>
      <c r="R30" s="3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7"/>
      <c r="Q31" s="37"/>
      <c r="R31" s="3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7"/>
      <c r="Q32" s="37"/>
      <c r="R32" s="3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7"/>
      <c r="Q33" s="37"/>
      <c r="R33" s="3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7"/>
      <c r="Q34" s="37"/>
      <c r="R34" s="3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7"/>
      <c r="Q35" s="37"/>
      <c r="R35" s="3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7"/>
      <c r="Q36" s="37"/>
      <c r="R36" s="3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7"/>
      <c r="Q37" s="37"/>
      <c r="R37" s="3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7"/>
      <c r="Q38" s="37"/>
      <c r="R38" s="3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7"/>
      <c r="Q39" s="37"/>
      <c r="R39" s="3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7"/>
      <c r="Q40" s="37"/>
      <c r="R40" s="3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7"/>
      <c r="Q41" s="37"/>
      <c r="R41" s="3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7"/>
      <c r="Q42" s="37"/>
      <c r="R42" s="3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7"/>
      <c r="Q43" s="37"/>
      <c r="R43" s="3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7"/>
      <c r="Q44" s="37"/>
      <c r="R44" s="3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7"/>
      <c r="Q45" s="37"/>
      <c r="R45" s="3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7"/>
      <c r="Q46" s="37"/>
      <c r="R46" s="3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7"/>
      <c r="Q47" s="37"/>
      <c r="R47" s="3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7"/>
      <c r="Q48" s="37"/>
      <c r="R48" s="3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7"/>
      <c r="Q49" s="37"/>
      <c r="R49" s="3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7"/>
      <c r="Q50" s="37"/>
      <c r="R50" s="3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7"/>
      <c r="Q51" s="37"/>
      <c r="R51" s="3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7"/>
      <c r="Q52" s="37"/>
      <c r="R52" s="3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7"/>
      <c r="Q53" s="37"/>
      <c r="R53" s="3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7"/>
      <c r="Q54" s="37"/>
      <c r="R54" s="3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7"/>
      <c r="Q55" s="37"/>
      <c r="R55" s="3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7"/>
      <c r="Q56" s="37"/>
      <c r="R56" s="3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7"/>
      <c r="Q57" s="37"/>
      <c r="R57" s="3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7"/>
      <c r="Q58" s="37"/>
      <c r="R58" s="3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7"/>
      <c r="Q59" s="37"/>
      <c r="R59" s="3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7"/>
      <c r="Q60" s="37"/>
      <c r="R60" s="3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7"/>
      <c r="Q61" s="37"/>
      <c r="R61" s="3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7"/>
      <c r="Q62" s="37"/>
      <c r="R62" s="3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7"/>
      <c r="Q63" s="37"/>
      <c r="R63" s="3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7"/>
      <c r="Q64" s="37"/>
      <c r="R64" s="3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7"/>
      <c r="Q65" s="37"/>
      <c r="R65" s="3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7"/>
      <c r="Q66" s="37"/>
      <c r="R66" s="3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7"/>
      <c r="Q67" s="37"/>
      <c r="R67" s="3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7"/>
      <c r="Q68" s="37"/>
      <c r="R68" s="3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7"/>
      <c r="Q69" s="37"/>
      <c r="R69" s="3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7"/>
      <c r="Q70" s="37"/>
      <c r="R70" s="3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7"/>
      <c r="Q71" s="37"/>
      <c r="R71" s="3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7"/>
      <c r="Q72" s="37"/>
      <c r="R72" s="3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7"/>
      <c r="Q73" s="37"/>
      <c r="R73" s="3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7"/>
      <c r="Q74" s="37"/>
      <c r="R74" s="3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7"/>
      <c r="Q75" s="37"/>
      <c r="R75" s="3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7"/>
      <c r="Q76" s="37"/>
      <c r="R76" s="3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7"/>
      <c r="Q77" s="37"/>
      <c r="R77" s="3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7"/>
      <c r="Q78" s="37"/>
      <c r="R78" s="3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7"/>
      <c r="Q79" s="37"/>
      <c r="R79" s="3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7"/>
      <c r="Q80" s="37"/>
      <c r="R80" s="3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7"/>
      <c r="Q81" s="37"/>
      <c r="R81" s="3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7"/>
      <c r="Q82" s="37"/>
      <c r="R82" s="3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7"/>
      <c r="Q83" s="37"/>
      <c r="R83" s="3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7"/>
      <c r="Q84" s="37"/>
      <c r="R84" s="3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7"/>
      <c r="Q85" s="37"/>
      <c r="R85" s="3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7"/>
      <c r="Q86" s="37"/>
      <c r="R86" s="3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7"/>
      <c r="Q87" s="37"/>
      <c r="R87" s="3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7"/>
      <c r="Q88" s="37"/>
      <c r="R88" s="3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7"/>
      <c r="Q89" s="37"/>
      <c r="R89" s="3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7"/>
      <c r="Q90" s="37"/>
      <c r="R90" s="3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7"/>
      <c r="Q91" s="37"/>
      <c r="R91" s="3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7"/>
      <c r="Q92" s="37"/>
      <c r="R92" s="3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7"/>
      <c r="Q93" s="37"/>
      <c r="R93" s="3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7"/>
      <c r="Q94" s="37"/>
      <c r="R94" s="3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7"/>
      <c r="Q95" s="37"/>
      <c r="R95" s="3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7"/>
      <c r="Q96" s="37"/>
      <c r="R96" s="3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7"/>
      <c r="Q97" s="37"/>
      <c r="R97" s="3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7"/>
      <c r="Q98" s="37"/>
      <c r="R98" s="3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7"/>
      <c r="Q99" s="37"/>
      <c r="R99" s="3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7"/>
      <c r="Q100" s="37"/>
      <c r="R100" s="3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7"/>
      <c r="Q101" s="37"/>
      <c r="R101" s="3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7"/>
      <c r="Q102" s="37"/>
      <c r="R102" s="3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7"/>
      <c r="Q103" s="37"/>
      <c r="R103" s="3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7"/>
      <c r="Q104" s="37"/>
      <c r="R104" s="3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7"/>
      <c r="Q105" s="37"/>
      <c r="R105" s="3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7"/>
      <c r="Q106" s="37"/>
      <c r="R106" s="3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7"/>
      <c r="Q107" s="37"/>
      <c r="R107" s="3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7"/>
      <c r="Q108" s="37"/>
      <c r="R108" s="3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7"/>
      <c r="Q109" s="37"/>
      <c r="R109" s="3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7"/>
      <c r="Q110" s="37"/>
      <c r="R110" s="3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7"/>
      <c r="Q111" s="37"/>
      <c r="R111" s="3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7"/>
      <c r="Q112" s="37"/>
      <c r="R112" s="3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7"/>
      <c r="Q113" s="37"/>
      <c r="R113" s="3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7"/>
      <c r="Q114" s="37"/>
      <c r="R114" s="3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7"/>
      <c r="Q115" s="37"/>
      <c r="R115" s="3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7"/>
      <c r="Q116" s="37"/>
      <c r="R116" s="3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7"/>
      <c r="Q117" s="37"/>
      <c r="R117" s="3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7"/>
      <c r="Q118" s="37"/>
      <c r="R118" s="3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7"/>
      <c r="Q119" s="37"/>
      <c r="R119" s="3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7"/>
      <c r="Q120" s="37"/>
      <c r="R120" s="3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7"/>
      <c r="Q121" s="37"/>
      <c r="R121" s="3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7"/>
      <c r="Q122" s="37"/>
      <c r="R122" s="3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7"/>
      <c r="Q123" s="37"/>
      <c r="R123" s="3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7"/>
      <c r="Q124" s="37"/>
      <c r="R124" s="3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7"/>
      <c r="Q125" s="37"/>
      <c r="R125" s="3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7"/>
      <c r="Q126" s="37"/>
      <c r="R126" s="3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7"/>
      <c r="Q127" s="37"/>
      <c r="R127" s="37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7"/>
      <c r="Q128" s="37"/>
      <c r="R128" s="37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7"/>
      <c r="Q129" s="37"/>
      <c r="R129" s="37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7"/>
      <c r="Q130" s="37"/>
      <c r="R130" s="3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7"/>
      <c r="Q131" s="37"/>
      <c r="R131" s="3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7"/>
      <c r="Q132" s="37"/>
      <c r="R132" s="3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7"/>
      <c r="Q133" s="37"/>
      <c r="R133" s="3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7"/>
      <c r="Q134" s="37"/>
      <c r="R134" s="3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7"/>
      <c r="Q135" s="37"/>
      <c r="R135" s="3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7"/>
      <c r="Q136" s="37"/>
      <c r="R136" s="3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7"/>
      <c r="Q137" s="37"/>
      <c r="R137" s="3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7"/>
      <c r="Q138" s="37"/>
      <c r="R138" s="3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7"/>
      <c r="Q139" s="37"/>
      <c r="R139" s="3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7"/>
      <c r="Q140" s="37"/>
      <c r="R140" s="37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7"/>
      <c r="Q141" s="37"/>
      <c r="R141" s="37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7"/>
      <c r="Q142" s="37"/>
      <c r="R142" s="37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7"/>
      <c r="Q143" s="37"/>
      <c r="R143" s="37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7"/>
      <c r="Q144" s="37"/>
      <c r="R144" s="37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7"/>
      <c r="Q145" s="37"/>
      <c r="R145" s="37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7"/>
      <c r="Q146" s="37"/>
      <c r="R146" s="37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7"/>
      <c r="Q147" s="37"/>
      <c r="R147" s="37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7"/>
      <c r="Q148" s="37"/>
      <c r="R148" s="37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7"/>
      <c r="Q149" s="37"/>
      <c r="R149" s="37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7"/>
      <c r="Q150" s="37"/>
      <c r="R150" s="37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7"/>
      <c r="Q151" s="37"/>
      <c r="R151" s="37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7"/>
      <c r="Q152" s="37"/>
      <c r="R152" s="37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7"/>
      <c r="Q153" s="37"/>
      <c r="R153" s="37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7"/>
      <c r="Q154" s="37"/>
      <c r="R154" s="37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7"/>
      <c r="Q155" s="37"/>
      <c r="R155" s="37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7"/>
      <c r="Q156" s="37"/>
      <c r="R156" s="37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7"/>
      <c r="Q157" s="37"/>
      <c r="R157" s="3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7"/>
      <c r="Q158" s="37"/>
      <c r="R158" s="37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7"/>
      <c r="Q159" s="37"/>
      <c r="R159" s="37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7"/>
      <c r="Q160" s="37"/>
      <c r="R160" s="37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7"/>
      <c r="Q161" s="37"/>
      <c r="R161" s="37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7"/>
      <c r="Q162" s="37"/>
      <c r="R162" s="37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7"/>
      <c r="Q163" s="37"/>
      <c r="R163" s="37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7"/>
      <c r="Q164" s="37"/>
      <c r="R164" s="37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7"/>
      <c r="Q165" s="37"/>
      <c r="R165" s="37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7"/>
      <c r="Q166" s="37"/>
      <c r="R166" s="37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7"/>
      <c r="Q167" s="37"/>
      <c r="R167" s="37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7"/>
      <c r="Q168" s="37"/>
      <c r="R168" s="37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7"/>
      <c r="Q169" s="37"/>
      <c r="R169" s="37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7"/>
      <c r="Q170" s="37"/>
      <c r="R170" s="37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7"/>
      <c r="Q171" s="37"/>
      <c r="R171" s="3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7"/>
      <c r="Q172" s="37"/>
      <c r="R172" s="37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7"/>
      <c r="Q173" s="37"/>
      <c r="R173" s="37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7"/>
      <c r="Q174" s="37"/>
      <c r="R174" s="37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7"/>
      <c r="Q175" s="37"/>
      <c r="R175" s="37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7"/>
      <c r="Q176" s="37"/>
      <c r="R176" s="37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7"/>
      <c r="Q177" s="37"/>
      <c r="R177" s="37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7"/>
      <c r="Q178" s="37"/>
      <c r="R178" s="37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7"/>
      <c r="Q179" s="37"/>
      <c r="R179" s="37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7"/>
      <c r="Q180" s="37"/>
      <c r="R180" s="37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7"/>
      <c r="Q181" s="37"/>
      <c r="R181" s="37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7"/>
      <c r="Q182" s="37"/>
      <c r="R182" s="37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7"/>
      <c r="Q183" s="37"/>
      <c r="R183" s="37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7"/>
      <c r="Q184" s="37"/>
      <c r="R184" s="37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7"/>
      <c r="Q185" s="37"/>
      <c r="R185" s="37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7"/>
      <c r="Q186" s="37"/>
      <c r="R186" s="37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7"/>
      <c r="Q187" s="37"/>
      <c r="R187" s="37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7"/>
      <c r="Q188" s="37"/>
      <c r="R188" s="37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7"/>
      <c r="Q189" s="37"/>
      <c r="R189" s="37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7"/>
      <c r="Q190" s="37"/>
      <c r="R190" s="37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7"/>
      <c r="Q191" s="37"/>
      <c r="R191" s="37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7"/>
      <c r="Q192" s="37"/>
      <c r="R192" s="37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7"/>
      <c r="Q193" s="37"/>
      <c r="R193" s="37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7"/>
      <c r="Q194" s="37"/>
      <c r="R194" s="37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7"/>
      <c r="Q195" s="37"/>
      <c r="R195" s="37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7"/>
      <c r="Q196" s="37"/>
      <c r="R196" s="37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7"/>
      <c r="Q197" s="37"/>
      <c r="R197" s="37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7"/>
      <c r="Q198" s="37"/>
      <c r="R198" s="37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7"/>
      <c r="Q199" s="37"/>
      <c r="R199" s="37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7"/>
      <c r="Q200" s="37"/>
      <c r="R200" s="37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7"/>
      <c r="Q201" s="37"/>
      <c r="R201" s="37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7"/>
      <c r="Q202" s="37"/>
      <c r="R202" s="37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7"/>
      <c r="Q203" s="37"/>
      <c r="R203" s="37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7"/>
      <c r="Q204" s="37"/>
      <c r="R204" s="37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7"/>
      <c r="Q205" s="37"/>
      <c r="R205" s="37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7"/>
      <c r="Q206" s="37"/>
      <c r="R206" s="37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7"/>
      <c r="Q207" s="37"/>
      <c r="R207" s="37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7"/>
      <c r="Q208" s="37"/>
      <c r="R208" s="37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7"/>
      <c r="Q209" s="37"/>
      <c r="R209" s="37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7"/>
      <c r="Q210" s="37"/>
      <c r="R210" s="37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7"/>
      <c r="Q211" s="37"/>
      <c r="R211" s="37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7"/>
      <c r="Q212" s="37"/>
      <c r="R212" s="37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7"/>
      <c r="Q213" s="37"/>
      <c r="R213" s="37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7"/>
      <c r="Q214" s="37"/>
      <c r="R214" s="37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7"/>
      <c r="Q215" s="37"/>
      <c r="R215" s="37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7"/>
      <c r="Q216" s="37"/>
      <c r="R216" s="37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7"/>
      <c r="Q217" s="37"/>
      <c r="R217" s="37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7"/>
      <c r="Q218" s="37"/>
      <c r="R218" s="37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7"/>
      <c r="Q219" s="37"/>
      <c r="R219" s="37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7"/>
      <c r="Q220" s="37"/>
      <c r="R220" s="37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7"/>
      <c r="Q221" s="37"/>
      <c r="R221" s="37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7"/>
      <c r="Q222" s="37"/>
      <c r="R222" s="37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7"/>
      <c r="Q223" s="37"/>
      <c r="R223" s="37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7"/>
      <c r="Q224" s="37"/>
      <c r="R224" s="37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7"/>
      <c r="Q225" s="37"/>
      <c r="R225" s="37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2:I4"/>
    <mergeCell ref="J2:J4"/>
    <mergeCell ref="K2:K4"/>
    <mergeCell ref="M2:M4"/>
    <mergeCell ref="L3:L4"/>
    <mergeCell ref="H20:O24"/>
    <mergeCell ref="N2:N4"/>
    <mergeCell ref="O2:O4"/>
    <mergeCell ref="P2:P4"/>
    <mergeCell ref="Q2:Q4"/>
    <mergeCell ref="E3:E4"/>
    <mergeCell ref="F3:F4"/>
    <mergeCell ref="B13:E13"/>
    <mergeCell ref="B19:E19"/>
    <mergeCell ref="G3:G4"/>
    <mergeCell ref="H3:H4"/>
    <mergeCell ref="A1:Q1"/>
    <mergeCell ref="A2:A4"/>
    <mergeCell ref="B2:B4"/>
    <mergeCell ref="C2:C4"/>
    <mergeCell ref="D2:D4"/>
    <mergeCell ref="E2:F2"/>
    <mergeCell ref="G2:H2"/>
  </mergeCells>
  <printOptions horizontalCentered="1"/>
  <pageMargins bottom="0.31" footer="0.0" header="0.0" left="0.53" right="0.17" top="0.23"/>
  <pageSetup paperSize="9" orientation="landscape"/>
  <headerFooter>
    <oddFooter>&amp;L&amp;F&amp;F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38"/>
    <col customWidth="1" min="2" max="2" width="22.63"/>
    <col customWidth="1" min="3" max="3" width="12.75"/>
    <col customWidth="1" min="4" max="4" width="10.25"/>
    <col customWidth="1" min="5" max="5" width="11.63"/>
    <col customWidth="1" min="6" max="6" width="11.25"/>
    <col customWidth="1" min="7" max="7" width="13.13"/>
    <col customWidth="1" min="8" max="9" width="14.13"/>
    <col customWidth="1" min="10" max="10" width="11.75"/>
    <col customWidth="1" min="11" max="11" width="10.63"/>
    <col customWidth="1" min="12" max="13" width="8.63"/>
    <col customWidth="1" min="14" max="14" width="8.0"/>
    <col customWidth="1" hidden="1" min="15" max="15" width="10.25"/>
  </cols>
  <sheetData>
    <row r="1" ht="50.25" customHeight="1">
      <c r="A1" s="42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>
      <c r="A2" s="4" t="s">
        <v>1</v>
      </c>
      <c r="B2" s="4" t="s">
        <v>80</v>
      </c>
      <c r="C2" s="4" t="s">
        <v>81</v>
      </c>
      <c r="D2" s="5" t="s">
        <v>82</v>
      </c>
      <c r="E2" s="6"/>
      <c r="F2" s="4" t="s">
        <v>83</v>
      </c>
      <c r="G2" s="5" t="s">
        <v>5</v>
      </c>
      <c r="H2" s="6"/>
      <c r="I2" s="4" t="s">
        <v>84</v>
      </c>
      <c r="J2" s="4" t="s">
        <v>85</v>
      </c>
      <c r="K2" s="4" t="s">
        <v>86</v>
      </c>
      <c r="L2" s="4" t="s">
        <v>7</v>
      </c>
      <c r="M2" s="4" t="s">
        <v>8</v>
      </c>
      <c r="N2" s="4" t="s">
        <v>9</v>
      </c>
      <c r="O2" s="4" t="s">
        <v>87</v>
      </c>
    </row>
    <row r="3">
      <c r="A3" s="10"/>
      <c r="B3" s="10"/>
      <c r="C3" s="10"/>
      <c r="D3" s="4" t="s">
        <v>88</v>
      </c>
      <c r="E3" s="4" t="s">
        <v>89</v>
      </c>
      <c r="F3" s="10"/>
      <c r="G3" s="4" t="s">
        <v>15</v>
      </c>
      <c r="H3" s="4" t="s">
        <v>16</v>
      </c>
      <c r="I3" s="10"/>
      <c r="J3" s="10"/>
      <c r="K3" s="10"/>
      <c r="L3" s="10"/>
      <c r="M3" s="10"/>
      <c r="N3" s="10"/>
      <c r="O3" s="10"/>
    </row>
    <row r="4" ht="42.0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ht="53.25" customHeight="1">
      <c r="A5" s="43">
        <v>1.0</v>
      </c>
      <c r="B5" s="44" t="s">
        <v>90</v>
      </c>
      <c r="C5" s="45">
        <v>18193.0</v>
      </c>
      <c r="D5" s="46" t="s">
        <v>91</v>
      </c>
      <c r="E5" s="46">
        <v>450.0</v>
      </c>
      <c r="F5" s="46">
        <v>9.2</v>
      </c>
      <c r="G5" s="46" t="s">
        <v>92</v>
      </c>
      <c r="H5" s="46">
        <v>3384.0</v>
      </c>
      <c r="I5" s="43" t="s">
        <v>93</v>
      </c>
      <c r="J5" s="46" t="s">
        <v>94</v>
      </c>
      <c r="K5" s="47">
        <v>467.0</v>
      </c>
      <c r="L5" s="43">
        <v>0.0</v>
      </c>
      <c r="M5" s="43">
        <v>400.0</v>
      </c>
      <c r="N5" s="43">
        <v>0.0</v>
      </c>
      <c r="O5" s="45">
        <v>18193.0</v>
      </c>
    </row>
    <row r="6" ht="55.5" customHeight="1">
      <c r="A6" s="43">
        <v>2.0</v>
      </c>
      <c r="B6" s="44" t="s">
        <v>95</v>
      </c>
      <c r="C6" s="45">
        <v>8700.0</v>
      </c>
      <c r="D6" s="46" t="s">
        <v>96</v>
      </c>
      <c r="E6" s="46">
        <v>0.0</v>
      </c>
      <c r="F6" s="46">
        <v>10.46</v>
      </c>
      <c r="G6" s="46" t="s">
        <v>97</v>
      </c>
      <c r="H6" s="46">
        <v>2135.28</v>
      </c>
      <c r="I6" s="43" t="s">
        <v>98</v>
      </c>
      <c r="J6" s="46" t="s">
        <v>99</v>
      </c>
      <c r="K6" s="47">
        <v>286.0</v>
      </c>
      <c r="L6" s="43">
        <v>0.0</v>
      </c>
      <c r="M6" s="43">
        <v>70.0</v>
      </c>
      <c r="N6" s="43">
        <v>0.0</v>
      </c>
      <c r="O6" s="45">
        <v>8700.0</v>
      </c>
    </row>
    <row r="7" ht="53.25" customHeight="1">
      <c r="A7" s="43">
        <v>3.0</v>
      </c>
      <c r="B7" s="44" t="s">
        <v>100</v>
      </c>
      <c r="C7" s="45">
        <v>5180.0</v>
      </c>
      <c r="D7" s="46" t="s">
        <v>101</v>
      </c>
      <c r="E7" s="46" t="s">
        <v>102</v>
      </c>
      <c r="F7" s="46">
        <v>10.67</v>
      </c>
      <c r="G7" s="46" t="s">
        <v>103</v>
      </c>
      <c r="H7" s="46">
        <v>1912.65</v>
      </c>
      <c r="I7" s="43" t="s">
        <v>104</v>
      </c>
      <c r="J7" s="46" t="s">
        <v>105</v>
      </c>
      <c r="K7" s="47">
        <v>826.0</v>
      </c>
      <c r="L7" s="43">
        <v>0.0</v>
      </c>
      <c r="M7" s="43">
        <v>40.0</v>
      </c>
      <c r="N7" s="43">
        <v>0.0</v>
      </c>
      <c r="O7" s="45">
        <v>5180.0</v>
      </c>
    </row>
    <row r="8" ht="53.25" customHeight="1">
      <c r="A8" s="43">
        <v>4.0</v>
      </c>
      <c r="B8" s="44" t="s">
        <v>106</v>
      </c>
      <c r="C8" s="45">
        <v>7500.0</v>
      </c>
      <c r="D8" s="46" t="s">
        <v>107</v>
      </c>
      <c r="E8" s="46">
        <v>24.65</v>
      </c>
      <c r="F8" s="46">
        <v>8.23</v>
      </c>
      <c r="G8" s="46">
        <v>115.25</v>
      </c>
      <c r="H8" s="46">
        <v>365.0</v>
      </c>
      <c r="I8" s="43" t="s">
        <v>108</v>
      </c>
      <c r="J8" s="46" t="s">
        <v>109</v>
      </c>
      <c r="K8" s="47">
        <v>30.0</v>
      </c>
      <c r="L8" s="43">
        <v>0.0</v>
      </c>
      <c r="M8" s="43">
        <v>0.0</v>
      </c>
      <c r="N8" s="43">
        <v>0.0</v>
      </c>
      <c r="O8" s="45">
        <v>5000.0</v>
      </c>
    </row>
    <row r="9" ht="53.25" customHeight="1">
      <c r="A9" s="43">
        <v>5.0</v>
      </c>
      <c r="B9" s="44" t="s">
        <v>110</v>
      </c>
      <c r="C9" s="45">
        <v>5150.0</v>
      </c>
      <c r="D9" s="46" t="s">
        <v>111</v>
      </c>
      <c r="E9" s="46">
        <v>24.0</v>
      </c>
      <c r="F9" s="46">
        <v>8.23</v>
      </c>
      <c r="G9" s="46" t="s">
        <v>112</v>
      </c>
      <c r="H9" s="46">
        <v>406.61</v>
      </c>
      <c r="I9" s="46" t="s">
        <v>113</v>
      </c>
      <c r="J9" s="43" t="s">
        <v>114</v>
      </c>
      <c r="K9" s="47">
        <v>30.0</v>
      </c>
      <c r="L9" s="43">
        <v>0.0</v>
      </c>
      <c r="M9" s="43">
        <v>0.0</v>
      </c>
      <c r="N9" s="43">
        <v>0.0</v>
      </c>
      <c r="O9" s="45"/>
    </row>
    <row r="10" ht="53.25" customHeight="1">
      <c r="A10" s="48">
        <v>6.0</v>
      </c>
      <c r="B10" s="49" t="s">
        <v>115</v>
      </c>
      <c r="C10" s="45">
        <v>10132.0</v>
      </c>
      <c r="D10" s="45" t="s">
        <v>116</v>
      </c>
      <c r="E10" s="45">
        <v>113.36</v>
      </c>
      <c r="F10" s="45">
        <v>30.3</v>
      </c>
      <c r="G10" s="45" t="s">
        <v>117</v>
      </c>
      <c r="H10" s="45">
        <v>1259.0</v>
      </c>
      <c r="I10" s="45" t="s">
        <v>118</v>
      </c>
      <c r="J10" s="45" t="s">
        <v>119</v>
      </c>
      <c r="K10" s="45">
        <v>439.0</v>
      </c>
      <c r="L10" s="45">
        <v>0.0</v>
      </c>
      <c r="M10" s="45">
        <v>40.0</v>
      </c>
      <c r="N10" s="45">
        <v>0.0</v>
      </c>
      <c r="O10" s="45"/>
    </row>
    <row r="11" ht="53.25" customHeight="1">
      <c r="A11" s="50">
        <v>7.0</v>
      </c>
      <c r="B11" s="51" t="s">
        <v>120</v>
      </c>
      <c r="C11" s="39">
        <v>7200.0</v>
      </c>
      <c r="D11" s="15" t="s">
        <v>121</v>
      </c>
      <c r="E11" s="52">
        <v>13.0</v>
      </c>
      <c r="F11" s="39">
        <v>4.88</v>
      </c>
      <c r="G11" s="39" t="s">
        <v>122</v>
      </c>
      <c r="H11" s="39">
        <v>397.0</v>
      </c>
      <c r="I11" s="39" t="s">
        <v>123</v>
      </c>
      <c r="J11" s="39" t="s">
        <v>124</v>
      </c>
      <c r="K11" s="39">
        <v>227.0</v>
      </c>
      <c r="L11" s="50"/>
      <c r="M11" s="39">
        <v>10.0</v>
      </c>
      <c r="N11" s="50"/>
      <c r="O11" s="39"/>
    </row>
    <row r="12" ht="45.75" customHeight="1">
      <c r="A12" s="43">
        <v>8.0</v>
      </c>
      <c r="B12" s="44" t="s">
        <v>125</v>
      </c>
      <c r="C12" s="45">
        <v>2580.0</v>
      </c>
      <c r="D12" s="46" t="s">
        <v>126</v>
      </c>
      <c r="E12" s="46">
        <v>7.044</v>
      </c>
      <c r="F12" s="46">
        <v>11.25</v>
      </c>
      <c r="G12" s="46" t="s">
        <v>127</v>
      </c>
      <c r="H12" s="46">
        <v>87.96</v>
      </c>
      <c r="I12" s="46" t="s">
        <v>128</v>
      </c>
      <c r="J12" s="45" t="s">
        <v>129</v>
      </c>
      <c r="K12" s="46">
        <v>0.0</v>
      </c>
      <c r="L12" s="43">
        <v>0.0</v>
      </c>
      <c r="M12" s="43">
        <v>0.0</v>
      </c>
      <c r="N12" s="43">
        <v>0.0</v>
      </c>
      <c r="O12" s="45"/>
    </row>
    <row r="13">
      <c r="K13" s="53"/>
    </row>
    <row r="14">
      <c r="K14" s="53"/>
    </row>
    <row r="15">
      <c r="K15" s="53"/>
    </row>
    <row r="16">
      <c r="K16" s="53"/>
    </row>
    <row r="17">
      <c r="K17" s="53"/>
    </row>
    <row r="18">
      <c r="K18" s="53"/>
    </row>
    <row r="19">
      <c r="K19" s="53"/>
    </row>
    <row r="20">
      <c r="K20" s="53"/>
    </row>
    <row r="21" ht="15.75" customHeight="1">
      <c r="K21" s="53"/>
    </row>
    <row r="22" ht="15.75" customHeight="1">
      <c r="K22" s="53"/>
    </row>
    <row r="23" ht="15.75" customHeight="1">
      <c r="I23" s="54">
        <f>125.43-107</f>
        <v>18.43</v>
      </c>
      <c r="K23" s="53"/>
    </row>
    <row r="24" ht="15.75" customHeight="1">
      <c r="K24" s="53"/>
    </row>
    <row r="25" ht="15.75" customHeight="1">
      <c r="K25" s="53"/>
    </row>
    <row r="26" ht="15.75" customHeight="1">
      <c r="K26" s="53"/>
    </row>
    <row r="27" ht="15.75" customHeight="1">
      <c r="K27" s="53"/>
    </row>
    <row r="28" ht="15.75" customHeight="1">
      <c r="K28" s="53"/>
    </row>
    <row r="29" ht="15.75" customHeight="1">
      <c r="K29" s="53"/>
    </row>
    <row r="30" ht="15.75" customHeight="1">
      <c r="K30" s="53"/>
    </row>
    <row r="31" ht="15.75" customHeight="1">
      <c r="K31" s="53"/>
    </row>
    <row r="32" ht="15.75" customHeight="1">
      <c r="K32" s="53"/>
    </row>
    <row r="33" ht="15.75" customHeight="1">
      <c r="K33" s="53"/>
    </row>
    <row r="34" ht="15.75" customHeight="1">
      <c r="K34" s="53"/>
    </row>
    <row r="35" ht="15.75" customHeight="1">
      <c r="K35" s="53"/>
    </row>
    <row r="36" ht="15.75" customHeight="1">
      <c r="K36" s="53"/>
    </row>
    <row r="37" ht="15.75" customHeight="1">
      <c r="K37" s="53"/>
    </row>
    <row r="38" ht="15.75" customHeight="1">
      <c r="K38" s="53"/>
    </row>
    <row r="39" ht="15.75" customHeight="1">
      <c r="K39" s="53"/>
    </row>
    <row r="40" ht="15.75" customHeight="1">
      <c r="K40" s="53"/>
    </row>
    <row r="41" ht="15.75" customHeight="1">
      <c r="K41" s="53"/>
    </row>
    <row r="42" ht="15.75" customHeight="1">
      <c r="K42" s="53"/>
    </row>
    <row r="43" ht="15.75" customHeight="1">
      <c r="K43" s="53"/>
    </row>
    <row r="44" ht="15.75" customHeight="1">
      <c r="K44" s="53"/>
    </row>
    <row r="45" ht="15.75" customHeight="1">
      <c r="K45" s="53"/>
    </row>
    <row r="46" ht="15.75" customHeight="1">
      <c r="K46" s="53"/>
    </row>
    <row r="47" ht="15.75" customHeight="1">
      <c r="K47" s="53"/>
    </row>
    <row r="48" ht="15.75" customHeight="1">
      <c r="K48" s="53"/>
    </row>
    <row r="49" ht="15.75" customHeight="1">
      <c r="K49" s="53"/>
    </row>
    <row r="50" ht="15.75" customHeight="1">
      <c r="K50" s="53"/>
    </row>
    <row r="51" ht="15.75" customHeight="1">
      <c r="K51" s="53"/>
    </row>
    <row r="52" ht="15.75" customHeight="1">
      <c r="K52" s="53"/>
    </row>
    <row r="53" ht="15.75" customHeight="1">
      <c r="K53" s="53"/>
    </row>
    <row r="54" ht="15.75" customHeight="1">
      <c r="K54" s="53"/>
    </row>
    <row r="55" ht="15.75" customHeight="1">
      <c r="K55" s="53"/>
    </row>
    <row r="56" ht="15.75" customHeight="1">
      <c r="K56" s="53"/>
    </row>
    <row r="57" ht="15.75" customHeight="1">
      <c r="K57" s="53"/>
    </row>
    <row r="58" ht="15.75" customHeight="1">
      <c r="K58" s="53"/>
    </row>
    <row r="59" ht="15.75" customHeight="1">
      <c r="K59" s="53"/>
    </row>
    <row r="60" ht="15.75" customHeight="1">
      <c r="K60" s="53"/>
    </row>
    <row r="61" ht="15.75" customHeight="1">
      <c r="K61" s="53"/>
    </row>
    <row r="62" ht="15.75" customHeight="1">
      <c r="K62" s="53"/>
    </row>
    <row r="63" ht="15.75" customHeight="1">
      <c r="K63" s="53"/>
    </row>
    <row r="64" ht="15.75" customHeight="1">
      <c r="K64" s="53"/>
    </row>
    <row r="65" ht="15.75" customHeight="1">
      <c r="K65" s="53"/>
    </row>
    <row r="66" ht="15.75" customHeight="1">
      <c r="K66" s="53"/>
    </row>
    <row r="67" ht="15.75" customHeight="1">
      <c r="K67" s="53"/>
    </row>
    <row r="68" ht="15.75" customHeight="1">
      <c r="K68" s="53"/>
    </row>
    <row r="69" ht="15.75" customHeight="1">
      <c r="K69" s="53"/>
    </row>
    <row r="70" ht="15.75" customHeight="1">
      <c r="K70" s="53"/>
    </row>
    <row r="71" ht="15.75" customHeight="1">
      <c r="K71" s="53"/>
    </row>
    <row r="72" ht="15.75" customHeight="1">
      <c r="K72" s="53"/>
    </row>
    <row r="73" ht="15.75" customHeight="1">
      <c r="K73" s="53"/>
    </row>
    <row r="74" ht="15.75" customHeight="1">
      <c r="K74" s="53"/>
    </row>
    <row r="75" ht="15.75" customHeight="1">
      <c r="K75" s="53"/>
    </row>
    <row r="76" ht="15.75" customHeight="1">
      <c r="K76" s="53"/>
    </row>
    <row r="77" ht="15.75" customHeight="1">
      <c r="K77" s="53"/>
    </row>
    <row r="78" ht="15.75" customHeight="1">
      <c r="K78" s="53"/>
    </row>
    <row r="79" ht="15.75" customHeight="1">
      <c r="K79" s="53"/>
    </row>
    <row r="80" ht="15.75" customHeight="1">
      <c r="K80" s="53"/>
    </row>
    <row r="81" ht="15.75" customHeight="1">
      <c r="K81" s="53"/>
    </row>
    <row r="82" ht="15.75" customHeight="1">
      <c r="K82" s="53"/>
    </row>
    <row r="83" ht="15.75" customHeight="1">
      <c r="K83" s="53"/>
    </row>
    <row r="84" ht="15.75" customHeight="1">
      <c r="K84" s="53"/>
    </row>
    <row r="85" ht="15.75" customHeight="1">
      <c r="K85" s="53"/>
    </row>
    <row r="86" ht="15.75" customHeight="1">
      <c r="K86" s="53"/>
    </row>
    <row r="87" ht="15.75" customHeight="1">
      <c r="K87" s="53"/>
    </row>
    <row r="88" ht="15.75" customHeight="1">
      <c r="K88" s="53"/>
    </row>
    <row r="89" ht="15.75" customHeight="1">
      <c r="K89" s="53"/>
    </row>
    <row r="90" ht="15.75" customHeight="1">
      <c r="K90" s="53"/>
    </row>
    <row r="91" ht="15.75" customHeight="1">
      <c r="K91" s="53"/>
    </row>
    <row r="92" ht="15.75" customHeight="1">
      <c r="K92" s="53"/>
    </row>
    <row r="93" ht="15.75" customHeight="1">
      <c r="K93" s="53"/>
    </row>
    <row r="94" ht="15.75" customHeight="1">
      <c r="K94" s="53"/>
    </row>
    <row r="95" ht="15.75" customHeight="1">
      <c r="K95" s="53"/>
    </row>
    <row r="96" ht="15.75" customHeight="1">
      <c r="K96" s="53"/>
    </row>
    <row r="97" ht="15.75" customHeight="1">
      <c r="K97" s="53"/>
    </row>
    <row r="98" ht="15.75" customHeight="1">
      <c r="K98" s="53"/>
    </row>
    <row r="99" ht="15.75" customHeight="1">
      <c r="K99" s="53"/>
    </row>
    <row r="100" ht="15.75" customHeight="1">
      <c r="K100" s="5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2:I4"/>
    <mergeCell ref="J2:J4"/>
    <mergeCell ref="K2:K4"/>
    <mergeCell ref="L2:L4"/>
    <mergeCell ref="M2:M4"/>
    <mergeCell ref="N2:N4"/>
    <mergeCell ref="O2:O4"/>
    <mergeCell ref="D3:D4"/>
    <mergeCell ref="E3:E4"/>
    <mergeCell ref="G3:G4"/>
    <mergeCell ref="H3:H4"/>
    <mergeCell ref="A1:N1"/>
    <mergeCell ref="A2:A4"/>
    <mergeCell ref="B2:B4"/>
    <mergeCell ref="C2:C4"/>
    <mergeCell ref="D2:E2"/>
    <mergeCell ref="F2:F4"/>
    <mergeCell ref="G2:H2"/>
  </mergeCells>
  <printOptions/>
  <pageMargins bottom="0.75" footer="0.0" header="0.0" left="0.7" right="0.7" top="0.75"/>
  <pageSetup paperSize="9" orientation="landscape"/>
  <headerFooter>
    <oddFooter>&amp;L&amp;F&amp;F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2024-06-17T01:07:54Z</dcterms:created>
  <dc:creator>DBT1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ba2e3cc0e8d54fa9af79319d86eb024e</vt:lpwstr>
  </property>
</Properties>
</file>
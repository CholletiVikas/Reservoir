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MENT PROJECTS-PYTHON\ReservoirApp\V2\"/>
    </mc:Choice>
  </mc:AlternateContent>
  <xr:revisionPtr revIDLastSave="0" documentId="13_ncr:1_{09B09903-DACD-4BF3-B32A-124D8E02FD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ater levels Major" sheetId="1" r:id="rId1"/>
    <sheet name="Water levels 18.01.2018 CE  (2)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OXV/zoqaEnNrfpeDh7LI8Fcum4wGlFokD86/ragGjD4="/>
    </ext>
  </extLst>
</workbook>
</file>

<file path=xl/calcChain.xml><?xml version="1.0" encoding="utf-8"?>
<calcChain xmlns="http://schemas.openxmlformats.org/spreadsheetml/2006/main">
  <c r="I19" i="1" l="1"/>
  <c r="I13" i="1"/>
  <c r="I23" i="3"/>
  <c r="F13" i="1"/>
  <c r="F19" i="1" s="1"/>
</calcChain>
</file>

<file path=xl/sharedStrings.xml><?xml version="1.0" encoding="utf-8"?>
<sst xmlns="http://schemas.openxmlformats.org/spreadsheetml/2006/main" count="116" uniqueCount="99">
  <si>
    <t>DAILY WATER LEVELS IN RESERVOIRS UNDER IRRIGATIOIN CIRCLE, JANGAON
DATED: 12.06.2026</t>
  </si>
  <si>
    <t>Sl No</t>
  </si>
  <si>
    <t>Name of the Reservoir</t>
  </si>
  <si>
    <t>Location</t>
  </si>
  <si>
    <t>District</t>
  </si>
  <si>
    <t>FRL</t>
  </si>
  <si>
    <t>Present Level</t>
  </si>
  <si>
    <t>Inflow In cusecs</t>
  </si>
  <si>
    <t>Outflow in Cusecs</t>
  </si>
  <si>
    <t>Rain Fall in mm</t>
  </si>
  <si>
    <t>Percentage of Filling</t>
  </si>
  <si>
    <t xml:space="preserve">Remarks </t>
  </si>
  <si>
    <t>Level in Mtrs</t>
  </si>
  <si>
    <t>Gross capacity in MCFT</t>
  </si>
  <si>
    <t>Gross capacity in TMC</t>
  </si>
  <si>
    <t xml:space="preserve">Gandiramaram </t>
  </si>
  <si>
    <t>Gandiramaram(V), Narmetta(M)</t>
  </si>
  <si>
    <t>Jangaon</t>
  </si>
  <si>
    <t xml:space="preserve">Bommakur </t>
  </si>
  <si>
    <t>Bommakur(V), Narmetta(M)</t>
  </si>
  <si>
    <t xml:space="preserve">Cheetakodur </t>
  </si>
  <si>
    <t>Cheetakodur(V), Jangaon(M)</t>
  </si>
  <si>
    <t>Nawabpet</t>
  </si>
  <si>
    <t>Nawabpet(V), Lingalaghanpur (M)</t>
  </si>
  <si>
    <t xml:space="preserve">R.S. Ghanpur </t>
  </si>
  <si>
    <t xml:space="preserve">Station Ghanpur (V) &amp; (M) </t>
  </si>
  <si>
    <t xml:space="preserve">Ashwaraopally </t>
  </si>
  <si>
    <t>Ashwaraopally(V), Raghunathpally(M)</t>
  </si>
  <si>
    <t>Kanneboinagudem Tank</t>
  </si>
  <si>
    <t>Kannaboinagudem(V), Narmetta(M)</t>
  </si>
  <si>
    <t>Veldanda Tank</t>
  </si>
  <si>
    <t>Veldanda (V), Jangaon(M)</t>
  </si>
  <si>
    <t>JANGAON District TOTAL</t>
  </si>
  <si>
    <t>Tapaspally</t>
  </si>
  <si>
    <t>Siddipet</t>
  </si>
  <si>
    <t>Laddunoor Tank</t>
  </si>
  <si>
    <t>Ladnoor(V), Maddhur (M)</t>
  </si>
  <si>
    <t>Inapur Tank</t>
  </si>
  <si>
    <t>Inapur (V), Komuravelli(M)</t>
  </si>
  <si>
    <t>Maa Reddy Cheruvu</t>
  </si>
  <si>
    <t>Nagapuri (V), Cherial (M)</t>
  </si>
  <si>
    <t>Mylaram Balancing Reservoir</t>
  </si>
  <si>
    <t xml:space="preserve">Mylaram(V), Rayaparthi (M) </t>
  </si>
  <si>
    <t>Warangal</t>
  </si>
  <si>
    <t>TOTAL</t>
  </si>
  <si>
    <t xml:space="preserve">   </t>
  </si>
  <si>
    <t xml:space="preserve"> </t>
  </si>
  <si>
    <t>DAILY WATER LEVELS IN MEDIUM IRRIGATION PROJECT UNDER IRRIGATIOIN CIRCLE, WARANGAL 
DATED: 11.04.2018</t>
  </si>
  <si>
    <t>Name of the Project</t>
  </si>
  <si>
    <t>Total Ayacut in Acres</t>
  </si>
  <si>
    <t>Sill Level</t>
  </si>
  <si>
    <t>Maximum Depth of Water above sill in Mtrs</t>
  </si>
  <si>
    <t>Total Depth of water above sill level in Feet</t>
  </si>
  <si>
    <t xml:space="preserve">Depth of water in Feet to day </t>
  </si>
  <si>
    <t>Live water available in MCFT to day</t>
  </si>
  <si>
    <t>Transplantation</t>
  </si>
  <si>
    <t>Levels in Mtrs</t>
  </si>
  <si>
    <t>Dead storage in MCFT</t>
  </si>
  <si>
    <t>Pakhal Lake</t>
  </si>
  <si>
    <t>+243.71</t>
  </si>
  <si>
    <t>+253.92</t>
  </si>
  <si>
    <t>30'-3"</t>
  </si>
  <si>
    <t>10' -3"</t>
  </si>
  <si>
    <t>Laknavaram Lake</t>
  </si>
  <si>
    <t>+174.52</t>
  </si>
  <si>
    <t>+185.00</t>
  </si>
  <si>
    <t>34'-4"</t>
  </si>
  <si>
    <t>19' - 10"</t>
  </si>
  <si>
    <t>Ramappa Lake</t>
  </si>
  <si>
    <t>+198.71</t>
  </si>
  <si>
    <t>NIL</t>
  </si>
  <si>
    <t>+209.38</t>
  </si>
  <si>
    <t>35'-0"</t>
  </si>
  <si>
    <t>23' -00"</t>
  </si>
  <si>
    <t>Malluruvagu Project</t>
  </si>
  <si>
    <t>+107</t>
  </si>
  <si>
    <t>27'-0"</t>
  </si>
  <si>
    <t>5' -00"</t>
  </si>
  <si>
    <t>Boggulavagu</t>
  </si>
  <si>
    <t>+151.18</t>
  </si>
  <si>
    <t>+159.41</t>
  </si>
  <si>
    <t>27'-.00"</t>
  </si>
  <si>
    <t>2'-0"</t>
  </si>
  <si>
    <t>Palam vagu</t>
  </si>
  <si>
    <t>+102.20</t>
  </si>
  <si>
    <t>+132.5</t>
  </si>
  <si>
    <t>99'-4"</t>
  </si>
  <si>
    <t>65'-53"</t>
  </si>
  <si>
    <t xml:space="preserve"> L.T Bayyaram</t>
  </si>
  <si>
    <t>+190.50</t>
  </si>
  <si>
    <t>+195.38</t>
  </si>
  <si>
    <t>16'-0"</t>
  </si>
  <si>
    <t>12'-0"</t>
  </si>
  <si>
    <t>Gundlavagu</t>
  </si>
  <si>
    <t>+105.45</t>
  </si>
  <si>
    <t>+116.70</t>
  </si>
  <si>
    <t>36'-10"</t>
  </si>
  <si>
    <t>0'-0"</t>
  </si>
  <si>
    <r>
      <t xml:space="preserve">
</t>
    </r>
    <r>
      <rPr>
        <sz val="12"/>
        <color rgb="FF000000"/>
        <rFont val="Arial"/>
      </rPr>
      <t>Superintending Engineer, I&amp;CADD
Irrigation Circle, Jangaon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</si>
</sst>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2"/>
      <color rgb="FF000000"/>
      <name val="Arial"/>
    </font>
    <font>
      <sz val="11"/>
      <color rgb="FF000000"/>
      <name val="Arial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vertical="center"/>
    </xf>
    <xf numFmtId="0" fontId="2" fillId="0" borderId="0" xfId="0" applyFont="1"/>
    <xf numFmtId="0" fontId="5" fillId="0" borderId="7" xfId="0" applyFont="1" applyBorder="1" applyAlignment="1">
      <alignment horizontal="left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2" fontId="2" fillId="0" borderId="7" xfId="0" applyNumberFormat="1" applyFont="1" applyBorder="1" applyAlignment="1">
      <alignment horizontal="center" vertical="center"/>
    </xf>
    <xf numFmtId="0" fontId="2" fillId="2" borderId="8" xfId="0" applyFont="1" applyFill="1" applyBorder="1"/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2" fillId="0" borderId="15" xfId="0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2" fillId="0" borderId="16" xfId="0" applyFont="1" applyBorder="1" applyAlignment="1">
      <alignment horizontal="right" wrapText="1"/>
    </xf>
    <xf numFmtId="0" fontId="2" fillId="0" borderId="17" xfId="0" applyFont="1" applyBorder="1" applyAlignment="1">
      <alignment horizontal="right" wrapText="1"/>
    </xf>
    <xf numFmtId="0" fontId="2" fillId="0" borderId="18" xfId="0" applyFont="1" applyBorder="1" applyAlignment="1">
      <alignment horizontal="right" wrapText="1"/>
    </xf>
    <xf numFmtId="0" fontId="2" fillId="0" borderId="19" xfId="0" applyFont="1" applyBorder="1" applyAlignment="1">
      <alignment horizontal="right" wrapText="1"/>
    </xf>
    <xf numFmtId="0" fontId="2" fillId="0" borderId="2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2" fontId="2" fillId="0" borderId="26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/>
    </xf>
    <xf numFmtId="0" fontId="2" fillId="0" borderId="23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6" fillId="0" borderId="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70" zoomScaleNormal="70" workbookViewId="0">
      <pane ySplit="4" topLeftCell="A5" activePane="bottomLeft" state="frozen"/>
      <selection pane="bottomLeft" activeCell="O9" sqref="O9"/>
    </sheetView>
  </sheetViews>
  <sheetFormatPr defaultColWidth="14" defaultRowHeight="15" customHeight="1" x14ac:dyDescent="0.2"/>
  <sheetData>
    <row r="1" spans="1:11" ht="39.75" customHeight="1" thickBo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8" customHeight="1" x14ac:dyDescent="0.2">
      <c r="A2" s="32" t="s">
        <v>1</v>
      </c>
      <c r="B2" s="33" t="s">
        <v>2</v>
      </c>
      <c r="C2" s="33" t="s">
        <v>3</v>
      </c>
      <c r="D2" s="33" t="s">
        <v>4</v>
      </c>
      <c r="E2" s="34" t="s">
        <v>5</v>
      </c>
      <c r="F2" s="35"/>
      <c r="G2" s="34" t="s">
        <v>6</v>
      </c>
      <c r="H2" s="35"/>
      <c r="I2" s="36"/>
      <c r="J2" s="33" t="s">
        <v>10</v>
      </c>
      <c r="K2" s="37" t="s">
        <v>11</v>
      </c>
    </row>
    <row r="3" spans="1:11" ht="12.75" x14ac:dyDescent="0.2">
      <c r="A3" s="28"/>
      <c r="B3" s="22"/>
      <c r="C3" s="22"/>
      <c r="D3" s="22"/>
      <c r="E3" s="21" t="s">
        <v>12</v>
      </c>
      <c r="F3" s="21" t="s">
        <v>13</v>
      </c>
      <c r="G3" s="21" t="s">
        <v>12</v>
      </c>
      <c r="H3" s="21" t="s">
        <v>13</v>
      </c>
      <c r="I3" s="21" t="s">
        <v>14</v>
      </c>
      <c r="J3" s="22"/>
      <c r="K3" s="29"/>
    </row>
    <row r="4" spans="1:11" ht="26.25" customHeight="1" x14ac:dyDescent="0.2">
      <c r="A4" s="28"/>
      <c r="B4" s="22"/>
      <c r="C4" s="22"/>
      <c r="D4" s="22"/>
      <c r="E4" s="22"/>
      <c r="F4" s="22"/>
      <c r="G4" s="22"/>
      <c r="H4" s="22"/>
      <c r="I4" s="22"/>
      <c r="J4" s="22"/>
      <c r="K4" s="29"/>
    </row>
    <row r="5" spans="1:11" ht="27.75" customHeight="1" x14ac:dyDescent="0.2">
      <c r="A5" s="30">
        <v>1</v>
      </c>
      <c r="B5" s="2" t="s">
        <v>15</v>
      </c>
      <c r="C5" s="2" t="s">
        <v>16</v>
      </c>
      <c r="D5" s="2" t="s">
        <v>17</v>
      </c>
      <c r="E5" s="3">
        <v>422</v>
      </c>
      <c r="F5" s="4">
        <v>335.6</v>
      </c>
      <c r="G5" s="4"/>
      <c r="H5" s="5"/>
      <c r="I5" s="5"/>
      <c r="J5" s="3"/>
      <c r="K5" s="31"/>
    </row>
    <row r="6" spans="1:11" ht="27.75" customHeight="1" x14ac:dyDescent="0.2">
      <c r="A6" s="30">
        <v>2</v>
      </c>
      <c r="B6" s="2" t="s">
        <v>18</v>
      </c>
      <c r="C6" s="2" t="s">
        <v>19</v>
      </c>
      <c r="D6" s="2" t="s">
        <v>17</v>
      </c>
      <c r="E6" s="3">
        <v>475</v>
      </c>
      <c r="F6" s="5">
        <v>198</v>
      </c>
      <c r="G6" s="4"/>
      <c r="H6" s="5"/>
      <c r="I6" s="5"/>
      <c r="J6" s="3"/>
      <c r="K6" s="31"/>
    </row>
    <row r="7" spans="1:11" ht="27.75" customHeight="1" x14ac:dyDescent="0.2">
      <c r="A7" s="30">
        <v>3</v>
      </c>
      <c r="B7" s="2" t="s">
        <v>20</v>
      </c>
      <c r="C7" s="2" t="s">
        <v>21</v>
      </c>
      <c r="D7" s="2" t="s">
        <v>17</v>
      </c>
      <c r="E7" s="3">
        <v>389</v>
      </c>
      <c r="F7" s="5">
        <v>300.25799999999998</v>
      </c>
      <c r="G7" s="4"/>
      <c r="H7" s="5"/>
      <c r="I7" s="5"/>
      <c r="J7" s="3"/>
      <c r="K7" s="31"/>
    </row>
    <row r="8" spans="1:11" ht="27.75" customHeight="1" x14ac:dyDescent="0.2">
      <c r="A8" s="30">
        <v>4</v>
      </c>
      <c r="B8" s="2" t="s">
        <v>22</v>
      </c>
      <c r="C8" s="6" t="s">
        <v>23</v>
      </c>
      <c r="D8" s="2" t="s">
        <v>17</v>
      </c>
      <c r="E8" s="3">
        <v>328.8</v>
      </c>
      <c r="F8" s="5">
        <v>550.51</v>
      </c>
      <c r="G8" s="4"/>
      <c r="H8" s="5"/>
      <c r="I8" s="5"/>
      <c r="J8" s="3"/>
      <c r="K8" s="31"/>
    </row>
    <row r="9" spans="1:11" ht="27.75" customHeight="1" x14ac:dyDescent="0.2">
      <c r="A9" s="30">
        <v>5</v>
      </c>
      <c r="B9" s="2" t="s">
        <v>24</v>
      </c>
      <c r="C9" s="6" t="s">
        <v>25</v>
      </c>
      <c r="D9" s="2" t="s">
        <v>17</v>
      </c>
      <c r="E9" s="3">
        <v>338.21499999999997</v>
      </c>
      <c r="F9" s="5">
        <v>1570</v>
      </c>
      <c r="G9" s="4"/>
      <c r="H9" s="5"/>
      <c r="I9" s="5"/>
      <c r="J9" s="3"/>
      <c r="K9" s="31"/>
    </row>
    <row r="10" spans="1:11" ht="27.75" customHeight="1" x14ac:dyDescent="0.2">
      <c r="A10" s="30">
        <v>6</v>
      </c>
      <c r="B10" s="2" t="s">
        <v>26</v>
      </c>
      <c r="C10" s="6" t="s">
        <v>27</v>
      </c>
      <c r="D10" s="2" t="s">
        <v>17</v>
      </c>
      <c r="E10" s="3">
        <v>400</v>
      </c>
      <c r="F10" s="5">
        <v>740</v>
      </c>
      <c r="G10" s="4"/>
      <c r="H10" s="5"/>
      <c r="I10" s="5"/>
      <c r="J10" s="3"/>
      <c r="K10" s="31"/>
    </row>
    <row r="11" spans="1:11" ht="27.75" customHeight="1" x14ac:dyDescent="0.2">
      <c r="A11" s="30">
        <v>7</v>
      </c>
      <c r="B11" s="2" t="s">
        <v>28</v>
      </c>
      <c r="C11" s="7" t="s">
        <v>29</v>
      </c>
      <c r="D11" s="2" t="s">
        <v>17</v>
      </c>
      <c r="E11" s="3">
        <v>500</v>
      </c>
      <c r="F11" s="5">
        <v>120</v>
      </c>
      <c r="G11" s="4"/>
      <c r="H11" s="5"/>
      <c r="I11" s="5"/>
      <c r="J11" s="3"/>
      <c r="K11" s="31"/>
    </row>
    <row r="12" spans="1:11" ht="27.75" customHeight="1" thickBot="1" x14ac:dyDescent="0.25">
      <c r="A12" s="53">
        <v>8</v>
      </c>
      <c r="B12" s="54" t="s">
        <v>30</v>
      </c>
      <c r="C12" s="55" t="s">
        <v>31</v>
      </c>
      <c r="D12" s="54" t="s">
        <v>17</v>
      </c>
      <c r="E12" s="56">
        <v>480</v>
      </c>
      <c r="F12" s="57">
        <v>150</v>
      </c>
      <c r="G12" s="58"/>
      <c r="H12" s="57"/>
      <c r="I12" s="57"/>
      <c r="J12" s="56"/>
      <c r="K12" s="59"/>
    </row>
    <row r="13" spans="1:11" ht="27.75" customHeight="1" thickBot="1" x14ac:dyDescent="0.25">
      <c r="A13" s="38" t="s">
        <v>32</v>
      </c>
      <c r="B13" s="66"/>
      <c r="C13" s="66"/>
      <c r="D13" s="66"/>
      <c r="E13" s="67"/>
      <c r="F13" s="60">
        <f>SUM(F5:F12)</f>
        <v>3964.3679999999999</v>
      </c>
      <c r="G13" s="61"/>
      <c r="H13" s="62"/>
      <c r="I13" s="60">
        <f>SUM(I5:I12)</f>
        <v>0</v>
      </c>
      <c r="J13" s="63"/>
      <c r="K13" s="64"/>
    </row>
    <row r="14" spans="1:11" ht="27.75" customHeight="1" x14ac:dyDescent="0.2">
      <c r="A14" s="47">
        <v>9</v>
      </c>
      <c r="B14" s="48" t="s">
        <v>33</v>
      </c>
      <c r="C14" s="48" t="s">
        <v>33</v>
      </c>
      <c r="D14" s="48" t="s">
        <v>34</v>
      </c>
      <c r="E14" s="50">
        <v>535.6</v>
      </c>
      <c r="F14" s="51">
        <v>300.46899999999999</v>
      </c>
      <c r="G14" s="50"/>
      <c r="H14" s="51"/>
      <c r="I14" s="51"/>
      <c r="J14" s="49"/>
      <c r="K14" s="52"/>
    </row>
    <row r="15" spans="1:11" ht="27.75" customHeight="1" x14ac:dyDescent="0.2">
      <c r="A15" s="30">
        <v>10</v>
      </c>
      <c r="B15" s="2" t="s">
        <v>35</v>
      </c>
      <c r="C15" s="7" t="s">
        <v>36</v>
      </c>
      <c r="D15" s="2" t="s">
        <v>34</v>
      </c>
      <c r="E15" s="4">
        <v>480</v>
      </c>
      <c r="F15" s="5">
        <v>296</v>
      </c>
      <c r="G15" s="4"/>
      <c r="H15" s="5"/>
      <c r="I15" s="5"/>
      <c r="J15" s="3"/>
      <c r="K15" s="31"/>
    </row>
    <row r="16" spans="1:11" ht="27.75" customHeight="1" x14ac:dyDescent="0.2">
      <c r="A16" s="30">
        <v>11</v>
      </c>
      <c r="B16" s="2" t="s">
        <v>37</v>
      </c>
      <c r="C16" s="7" t="s">
        <v>38</v>
      </c>
      <c r="D16" s="2" t="s">
        <v>34</v>
      </c>
      <c r="E16" s="4">
        <v>518.5</v>
      </c>
      <c r="F16" s="5">
        <v>122</v>
      </c>
      <c r="G16" s="4"/>
      <c r="H16" s="5"/>
      <c r="I16" s="5"/>
      <c r="J16" s="3"/>
      <c r="K16" s="31"/>
    </row>
    <row r="17" spans="1:11" ht="27.75" customHeight="1" x14ac:dyDescent="0.2">
      <c r="A17" s="30">
        <v>12</v>
      </c>
      <c r="B17" s="2" t="s">
        <v>39</v>
      </c>
      <c r="C17" s="7" t="s">
        <v>40</v>
      </c>
      <c r="D17" s="2" t="s">
        <v>34</v>
      </c>
      <c r="E17" s="4">
        <v>527</v>
      </c>
      <c r="F17" s="5">
        <v>130</v>
      </c>
      <c r="G17" s="4"/>
      <c r="H17" s="5"/>
      <c r="I17" s="5"/>
      <c r="J17" s="3"/>
      <c r="K17" s="31"/>
    </row>
    <row r="18" spans="1:11" ht="27.75" customHeight="1" thickBot="1" x14ac:dyDescent="0.25">
      <c r="A18" s="53">
        <v>13</v>
      </c>
      <c r="B18" s="54" t="s">
        <v>41</v>
      </c>
      <c r="C18" s="65" t="s">
        <v>42</v>
      </c>
      <c r="D18" s="54" t="s">
        <v>43</v>
      </c>
      <c r="E18" s="58">
        <v>250.5</v>
      </c>
      <c r="F18" s="57">
        <v>867</v>
      </c>
      <c r="G18" s="58"/>
      <c r="H18" s="57"/>
      <c r="I18" s="57"/>
      <c r="J18" s="56"/>
      <c r="K18" s="59"/>
    </row>
    <row r="19" spans="1:11" ht="24" customHeight="1" thickBot="1" x14ac:dyDescent="0.25">
      <c r="A19" s="38" t="s">
        <v>44</v>
      </c>
      <c r="B19" s="66"/>
      <c r="C19" s="66"/>
      <c r="D19" s="66"/>
      <c r="E19" s="67"/>
      <c r="F19" s="60">
        <f>SUM(F14:F18)+F13</f>
        <v>5679.8369999999995</v>
      </c>
      <c r="G19" s="61" t="s">
        <v>45</v>
      </c>
      <c r="H19" s="62"/>
      <c r="I19" s="60">
        <f>SUM(I13:I18)</f>
        <v>0</v>
      </c>
      <c r="J19" s="63"/>
      <c r="K19" s="64"/>
    </row>
    <row r="20" spans="1:11" ht="12.75" customHeight="1" x14ac:dyDescent="0.2">
      <c r="A20" s="41" t="s">
        <v>98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ht="15.75" customHeight="1" x14ac:dyDescent="0.2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3"/>
    </row>
    <row r="22" spans="1:11" ht="15.75" customHeight="1" x14ac:dyDescent="0.2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3"/>
    </row>
    <row r="23" spans="1:11" ht="15.75" customHeight="1" x14ac:dyDescent="0.2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3"/>
    </row>
    <row r="24" spans="1:11" ht="15.75" customHeight="1" thickBot="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2">
      <c r="A30" s="1"/>
      <c r="B30" s="1"/>
      <c r="C30" s="1"/>
      <c r="D30" s="1"/>
      <c r="E30" s="1"/>
      <c r="F30" s="1"/>
      <c r="G30" s="1" t="s">
        <v>46</v>
      </c>
      <c r="H30" s="1"/>
      <c r="I30" s="1"/>
      <c r="J30" s="1"/>
      <c r="K30" s="1"/>
    </row>
    <row r="31" spans="1:11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 x14ac:dyDescent="0.2"/>
    <row r="232" spans="1:11" ht="15.75" customHeight="1" x14ac:dyDescent="0.2"/>
    <row r="233" spans="1:11" ht="15.75" customHeight="1" x14ac:dyDescent="0.2"/>
    <row r="234" spans="1:11" ht="15.75" customHeight="1" x14ac:dyDescent="0.2"/>
    <row r="235" spans="1:11" ht="15.75" customHeight="1" x14ac:dyDescent="0.2"/>
    <row r="236" spans="1:11" ht="15.75" customHeight="1" x14ac:dyDescent="0.2"/>
    <row r="237" spans="1:11" ht="15.75" customHeight="1" x14ac:dyDescent="0.2"/>
    <row r="238" spans="1:11" ht="15.75" customHeight="1" x14ac:dyDescent="0.2"/>
    <row r="239" spans="1:11" ht="15.75" customHeight="1" x14ac:dyDescent="0.2"/>
    <row r="240" spans="1:11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A19:E19"/>
    <mergeCell ref="A20:K24"/>
    <mergeCell ref="A1:K1"/>
    <mergeCell ref="A2:A4"/>
    <mergeCell ref="B2:B4"/>
    <mergeCell ref="C2:C4"/>
    <mergeCell ref="D2:D4"/>
    <mergeCell ref="E2:F2"/>
    <mergeCell ref="G2:H2"/>
    <mergeCell ref="E3:E4"/>
    <mergeCell ref="F3:F4"/>
    <mergeCell ref="G3:G4"/>
    <mergeCell ref="A13:E13"/>
    <mergeCell ref="K2:K4"/>
    <mergeCell ref="H3:H4"/>
    <mergeCell ref="J2:J4"/>
    <mergeCell ref="I3:I4"/>
  </mergeCells>
  <printOptions horizontalCentered="1"/>
  <pageMargins left="0.53" right="0.17" top="0.23" bottom="0.31" header="0" footer="0"/>
  <pageSetup paperSize="9" orientation="landscape"/>
  <headerFooter>
    <oddFooter>&amp;L&amp;F&amp;F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" customHeight="1" x14ac:dyDescent="0.2"/>
  <cols>
    <col min="1" max="1" width="8.42578125" customWidth="1"/>
    <col min="2" max="2" width="22.5703125" customWidth="1"/>
    <col min="3" max="3" width="12.7109375" customWidth="1"/>
    <col min="4" max="4" width="10.28515625" customWidth="1"/>
    <col min="5" max="5" width="11.5703125" customWidth="1"/>
    <col min="6" max="6" width="11.28515625" customWidth="1"/>
    <col min="7" max="7" width="13.140625" customWidth="1"/>
    <col min="8" max="9" width="14.140625" customWidth="1"/>
    <col min="10" max="10" width="11.7109375" customWidth="1"/>
    <col min="11" max="11" width="10.5703125" customWidth="1"/>
    <col min="12" max="13" width="8.5703125" customWidth="1"/>
    <col min="14" max="14" width="8" customWidth="1"/>
    <col min="15" max="15" width="10.28515625" hidden="1" customWidth="1"/>
  </cols>
  <sheetData>
    <row r="1" spans="1:15" ht="50.25" customHeight="1" x14ac:dyDescent="0.2">
      <c r="A1" s="27" t="s">
        <v>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5" ht="12.75" x14ac:dyDescent="0.2">
      <c r="A2" s="21" t="s">
        <v>1</v>
      </c>
      <c r="B2" s="21" t="s">
        <v>48</v>
      </c>
      <c r="C2" s="21" t="s">
        <v>49</v>
      </c>
      <c r="D2" s="26" t="s">
        <v>50</v>
      </c>
      <c r="E2" s="25"/>
      <c r="F2" s="21" t="s">
        <v>51</v>
      </c>
      <c r="G2" s="26" t="s">
        <v>5</v>
      </c>
      <c r="H2" s="25"/>
      <c r="I2" s="21" t="s">
        <v>52</v>
      </c>
      <c r="J2" s="21" t="s">
        <v>53</v>
      </c>
      <c r="K2" s="21" t="s">
        <v>54</v>
      </c>
      <c r="L2" s="21" t="s">
        <v>7</v>
      </c>
      <c r="M2" s="21" t="s">
        <v>8</v>
      </c>
      <c r="N2" s="21" t="s">
        <v>9</v>
      </c>
      <c r="O2" s="21" t="s">
        <v>55</v>
      </c>
    </row>
    <row r="3" spans="1:15" ht="12.75" x14ac:dyDescent="0.2">
      <c r="A3" s="22"/>
      <c r="B3" s="22"/>
      <c r="C3" s="22"/>
      <c r="D3" s="21" t="s">
        <v>56</v>
      </c>
      <c r="E3" s="21" t="s">
        <v>57</v>
      </c>
      <c r="F3" s="22"/>
      <c r="G3" s="21" t="s">
        <v>12</v>
      </c>
      <c r="H3" s="21" t="s">
        <v>13</v>
      </c>
      <c r="I3" s="22"/>
      <c r="J3" s="22"/>
      <c r="K3" s="22"/>
      <c r="L3" s="22"/>
      <c r="M3" s="22"/>
      <c r="N3" s="22"/>
      <c r="O3" s="22"/>
    </row>
    <row r="4" spans="1:15" ht="42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53.25" customHeight="1" x14ac:dyDescent="0.2">
      <c r="A5" s="9">
        <v>1</v>
      </c>
      <c r="B5" s="10" t="s">
        <v>58</v>
      </c>
      <c r="C5" s="11">
        <v>18193</v>
      </c>
      <c r="D5" s="12" t="s">
        <v>59</v>
      </c>
      <c r="E5" s="12">
        <v>450</v>
      </c>
      <c r="F5" s="12">
        <v>9.1999999999999993</v>
      </c>
      <c r="G5" s="12" t="s">
        <v>60</v>
      </c>
      <c r="H5" s="12">
        <v>3384</v>
      </c>
      <c r="I5" s="9" t="s">
        <v>61</v>
      </c>
      <c r="J5" s="12" t="s">
        <v>62</v>
      </c>
      <c r="K5" s="13">
        <v>467</v>
      </c>
      <c r="L5" s="9">
        <v>0</v>
      </c>
      <c r="M5" s="9">
        <v>400</v>
      </c>
      <c r="N5" s="9">
        <v>0</v>
      </c>
      <c r="O5" s="11">
        <v>18193</v>
      </c>
    </row>
    <row r="6" spans="1:15" ht="55.5" customHeight="1" x14ac:dyDescent="0.2">
      <c r="A6" s="9">
        <v>2</v>
      </c>
      <c r="B6" s="10" t="s">
        <v>63</v>
      </c>
      <c r="C6" s="11">
        <v>8700</v>
      </c>
      <c r="D6" s="12" t="s">
        <v>64</v>
      </c>
      <c r="E6" s="12">
        <v>0</v>
      </c>
      <c r="F6" s="12">
        <v>10.46</v>
      </c>
      <c r="G6" s="12" t="s">
        <v>65</v>
      </c>
      <c r="H6" s="12">
        <v>2135.2800000000002</v>
      </c>
      <c r="I6" s="9" t="s">
        <v>66</v>
      </c>
      <c r="J6" s="12" t="s">
        <v>67</v>
      </c>
      <c r="K6" s="13">
        <v>286</v>
      </c>
      <c r="L6" s="9">
        <v>0</v>
      </c>
      <c r="M6" s="9">
        <v>70</v>
      </c>
      <c r="N6" s="9">
        <v>0</v>
      </c>
      <c r="O6" s="11">
        <v>8700</v>
      </c>
    </row>
    <row r="7" spans="1:15" ht="53.25" customHeight="1" x14ac:dyDescent="0.2">
      <c r="A7" s="9">
        <v>3</v>
      </c>
      <c r="B7" s="10" t="s">
        <v>68</v>
      </c>
      <c r="C7" s="11">
        <v>5180</v>
      </c>
      <c r="D7" s="12" t="s">
        <v>69</v>
      </c>
      <c r="E7" s="12" t="s">
        <v>70</v>
      </c>
      <c r="F7" s="12">
        <v>10.67</v>
      </c>
      <c r="G7" s="12" t="s">
        <v>71</v>
      </c>
      <c r="H7" s="12">
        <v>1912.65</v>
      </c>
      <c r="I7" s="9" t="s">
        <v>72</v>
      </c>
      <c r="J7" s="12" t="s">
        <v>73</v>
      </c>
      <c r="K7" s="13">
        <v>826</v>
      </c>
      <c r="L7" s="9">
        <v>0</v>
      </c>
      <c r="M7" s="9">
        <v>40</v>
      </c>
      <c r="N7" s="9">
        <v>0</v>
      </c>
      <c r="O7" s="11">
        <v>5180</v>
      </c>
    </row>
    <row r="8" spans="1:15" ht="53.25" customHeight="1" x14ac:dyDescent="0.2">
      <c r="A8" s="9">
        <v>4</v>
      </c>
      <c r="B8" s="10" t="s">
        <v>74</v>
      </c>
      <c r="C8" s="11">
        <v>7500</v>
      </c>
      <c r="D8" s="12" t="s">
        <v>75</v>
      </c>
      <c r="E8" s="12">
        <v>24.65</v>
      </c>
      <c r="F8" s="12">
        <v>8.23</v>
      </c>
      <c r="G8" s="12">
        <v>115.25</v>
      </c>
      <c r="H8" s="12">
        <v>365</v>
      </c>
      <c r="I8" s="9" t="s">
        <v>76</v>
      </c>
      <c r="J8" s="12" t="s">
        <v>77</v>
      </c>
      <c r="K8" s="13">
        <v>30</v>
      </c>
      <c r="L8" s="9">
        <v>0</v>
      </c>
      <c r="M8" s="9">
        <v>0</v>
      </c>
      <c r="N8" s="9">
        <v>0</v>
      </c>
      <c r="O8" s="11">
        <v>5000</v>
      </c>
    </row>
    <row r="9" spans="1:15" ht="53.25" customHeight="1" x14ac:dyDescent="0.2">
      <c r="A9" s="9">
        <v>5</v>
      </c>
      <c r="B9" s="10" t="s">
        <v>78</v>
      </c>
      <c r="C9" s="11">
        <v>5150</v>
      </c>
      <c r="D9" s="12" t="s">
        <v>79</v>
      </c>
      <c r="E9" s="12">
        <v>24</v>
      </c>
      <c r="F9" s="12">
        <v>8.23</v>
      </c>
      <c r="G9" s="12" t="s">
        <v>80</v>
      </c>
      <c r="H9" s="12">
        <v>406.61</v>
      </c>
      <c r="I9" s="12" t="s">
        <v>81</v>
      </c>
      <c r="J9" s="9" t="s">
        <v>82</v>
      </c>
      <c r="K9" s="13">
        <v>30</v>
      </c>
      <c r="L9" s="9">
        <v>0</v>
      </c>
      <c r="M9" s="9">
        <v>0</v>
      </c>
      <c r="N9" s="9">
        <v>0</v>
      </c>
      <c r="O9" s="11"/>
    </row>
    <row r="10" spans="1:15" ht="53.25" customHeight="1" x14ac:dyDescent="0.2">
      <c r="A10" s="14">
        <v>6</v>
      </c>
      <c r="B10" s="15" t="s">
        <v>83</v>
      </c>
      <c r="C10" s="11">
        <v>10132</v>
      </c>
      <c r="D10" s="11" t="s">
        <v>84</v>
      </c>
      <c r="E10" s="11">
        <v>113.36</v>
      </c>
      <c r="F10" s="11">
        <v>30.3</v>
      </c>
      <c r="G10" s="11" t="s">
        <v>85</v>
      </c>
      <c r="H10" s="11">
        <v>1259</v>
      </c>
      <c r="I10" s="11" t="s">
        <v>86</v>
      </c>
      <c r="J10" s="11" t="s">
        <v>87</v>
      </c>
      <c r="K10" s="11">
        <v>439</v>
      </c>
      <c r="L10" s="11">
        <v>0</v>
      </c>
      <c r="M10" s="11">
        <v>40</v>
      </c>
      <c r="N10" s="11">
        <v>0</v>
      </c>
      <c r="O10" s="11"/>
    </row>
    <row r="11" spans="1:15" ht="53.25" customHeight="1" x14ac:dyDescent="0.2">
      <c r="A11" s="16">
        <v>7</v>
      </c>
      <c r="B11" s="17" t="s">
        <v>88</v>
      </c>
      <c r="C11" s="8">
        <v>7200</v>
      </c>
      <c r="D11" s="3" t="s">
        <v>89</v>
      </c>
      <c r="E11" s="18">
        <v>13</v>
      </c>
      <c r="F11" s="8">
        <v>4.88</v>
      </c>
      <c r="G11" s="8" t="s">
        <v>90</v>
      </c>
      <c r="H11" s="8">
        <v>397</v>
      </c>
      <c r="I11" s="8" t="s">
        <v>91</v>
      </c>
      <c r="J11" s="8" t="s">
        <v>92</v>
      </c>
      <c r="K11" s="8">
        <v>227</v>
      </c>
      <c r="L11" s="16"/>
      <c r="M11" s="8">
        <v>10</v>
      </c>
      <c r="N11" s="16"/>
      <c r="O11" s="8"/>
    </row>
    <row r="12" spans="1:15" ht="45.75" customHeight="1" x14ac:dyDescent="0.2">
      <c r="A12" s="9">
        <v>8</v>
      </c>
      <c r="B12" s="10" t="s">
        <v>93</v>
      </c>
      <c r="C12" s="11">
        <v>2580</v>
      </c>
      <c r="D12" s="12" t="s">
        <v>94</v>
      </c>
      <c r="E12" s="12">
        <v>7.0439999999999996</v>
      </c>
      <c r="F12" s="12">
        <v>11.25</v>
      </c>
      <c r="G12" s="12" t="s">
        <v>95</v>
      </c>
      <c r="H12" s="12">
        <v>87.96</v>
      </c>
      <c r="I12" s="12" t="s">
        <v>96</v>
      </c>
      <c r="J12" s="11" t="s">
        <v>97</v>
      </c>
      <c r="K12" s="12">
        <v>0</v>
      </c>
      <c r="L12" s="9">
        <v>0</v>
      </c>
      <c r="M12" s="9">
        <v>0</v>
      </c>
      <c r="N12" s="9">
        <v>0</v>
      </c>
      <c r="O12" s="11"/>
    </row>
    <row r="13" spans="1:15" ht="12.75" x14ac:dyDescent="0.2">
      <c r="K13" s="19"/>
    </row>
    <row r="14" spans="1:15" ht="12.75" x14ac:dyDescent="0.2">
      <c r="K14" s="19"/>
    </row>
    <row r="15" spans="1:15" ht="12.75" x14ac:dyDescent="0.2">
      <c r="K15" s="19"/>
    </row>
    <row r="16" spans="1:15" ht="12.75" x14ac:dyDescent="0.2">
      <c r="K16" s="19"/>
    </row>
    <row r="17" spans="9:11" ht="12.75" x14ac:dyDescent="0.2">
      <c r="K17" s="19"/>
    </row>
    <row r="18" spans="9:11" ht="12.75" x14ac:dyDescent="0.2">
      <c r="K18" s="19"/>
    </row>
    <row r="19" spans="9:11" ht="12.75" x14ac:dyDescent="0.2">
      <c r="K19" s="19"/>
    </row>
    <row r="20" spans="9:11" ht="12.75" x14ac:dyDescent="0.2">
      <c r="K20" s="19"/>
    </row>
    <row r="21" spans="9:11" ht="15.75" customHeight="1" x14ac:dyDescent="0.2">
      <c r="K21" s="19"/>
    </row>
    <row r="22" spans="9:11" ht="15.75" customHeight="1" x14ac:dyDescent="0.2">
      <c r="K22" s="19"/>
    </row>
    <row r="23" spans="9:11" ht="15.75" customHeight="1" x14ac:dyDescent="0.2">
      <c r="I23" s="20">
        <f>125.43-107</f>
        <v>18.430000000000007</v>
      </c>
      <c r="K23" s="19"/>
    </row>
    <row r="24" spans="9:11" ht="15.75" customHeight="1" x14ac:dyDescent="0.2">
      <c r="K24" s="19"/>
    </row>
    <row r="25" spans="9:11" ht="15.75" customHeight="1" x14ac:dyDescent="0.2">
      <c r="K25" s="19"/>
    </row>
    <row r="26" spans="9:11" ht="15.75" customHeight="1" x14ac:dyDescent="0.2">
      <c r="K26" s="19"/>
    </row>
    <row r="27" spans="9:11" ht="15.75" customHeight="1" x14ac:dyDescent="0.2">
      <c r="K27" s="19"/>
    </row>
    <row r="28" spans="9:11" ht="15.75" customHeight="1" x14ac:dyDescent="0.2">
      <c r="K28" s="19"/>
    </row>
    <row r="29" spans="9:11" ht="15.75" customHeight="1" x14ac:dyDescent="0.2">
      <c r="K29" s="19"/>
    </row>
    <row r="30" spans="9:11" ht="15.75" customHeight="1" x14ac:dyDescent="0.2">
      <c r="K30" s="19"/>
    </row>
    <row r="31" spans="9:11" ht="15.75" customHeight="1" x14ac:dyDescent="0.2">
      <c r="K31" s="19"/>
    </row>
    <row r="32" spans="9:11" ht="15.75" customHeight="1" x14ac:dyDescent="0.2">
      <c r="K32" s="19"/>
    </row>
    <row r="33" spans="11:11" ht="15.75" customHeight="1" x14ac:dyDescent="0.2">
      <c r="K33" s="19"/>
    </row>
    <row r="34" spans="11:11" ht="15.75" customHeight="1" x14ac:dyDescent="0.2">
      <c r="K34" s="19"/>
    </row>
    <row r="35" spans="11:11" ht="15.75" customHeight="1" x14ac:dyDescent="0.2">
      <c r="K35" s="19"/>
    </row>
    <row r="36" spans="11:11" ht="15.75" customHeight="1" x14ac:dyDescent="0.2">
      <c r="K36" s="19"/>
    </row>
    <row r="37" spans="11:11" ht="15.75" customHeight="1" x14ac:dyDescent="0.2">
      <c r="K37" s="19"/>
    </row>
    <row r="38" spans="11:11" ht="15.75" customHeight="1" x14ac:dyDescent="0.2">
      <c r="K38" s="19"/>
    </row>
    <row r="39" spans="11:11" ht="15.75" customHeight="1" x14ac:dyDescent="0.2">
      <c r="K39" s="19"/>
    </row>
    <row r="40" spans="11:11" ht="15.75" customHeight="1" x14ac:dyDescent="0.2">
      <c r="K40" s="19"/>
    </row>
    <row r="41" spans="11:11" ht="15.75" customHeight="1" x14ac:dyDescent="0.2">
      <c r="K41" s="19"/>
    </row>
    <row r="42" spans="11:11" ht="15.75" customHeight="1" x14ac:dyDescent="0.2">
      <c r="K42" s="19"/>
    </row>
    <row r="43" spans="11:11" ht="15.75" customHeight="1" x14ac:dyDescent="0.2">
      <c r="K43" s="19"/>
    </row>
    <row r="44" spans="11:11" ht="15.75" customHeight="1" x14ac:dyDescent="0.2">
      <c r="K44" s="19"/>
    </row>
    <row r="45" spans="11:11" ht="15.75" customHeight="1" x14ac:dyDescent="0.2">
      <c r="K45" s="19"/>
    </row>
    <row r="46" spans="11:11" ht="15.75" customHeight="1" x14ac:dyDescent="0.2">
      <c r="K46" s="19"/>
    </row>
    <row r="47" spans="11:11" ht="15.75" customHeight="1" x14ac:dyDescent="0.2">
      <c r="K47" s="19"/>
    </row>
    <row r="48" spans="11:11" ht="15.75" customHeight="1" x14ac:dyDescent="0.2">
      <c r="K48" s="19"/>
    </row>
    <row r="49" spans="11:11" ht="15.75" customHeight="1" x14ac:dyDescent="0.2">
      <c r="K49" s="19"/>
    </row>
    <row r="50" spans="11:11" ht="15.75" customHeight="1" x14ac:dyDescent="0.2">
      <c r="K50" s="19"/>
    </row>
    <row r="51" spans="11:11" ht="15.75" customHeight="1" x14ac:dyDescent="0.2">
      <c r="K51" s="19"/>
    </row>
    <row r="52" spans="11:11" ht="15.75" customHeight="1" x14ac:dyDescent="0.2">
      <c r="K52" s="19"/>
    </row>
    <row r="53" spans="11:11" ht="15.75" customHeight="1" x14ac:dyDescent="0.2">
      <c r="K53" s="19"/>
    </row>
    <row r="54" spans="11:11" ht="15.75" customHeight="1" x14ac:dyDescent="0.2">
      <c r="K54" s="19"/>
    </row>
    <row r="55" spans="11:11" ht="15.75" customHeight="1" x14ac:dyDescent="0.2">
      <c r="K55" s="19"/>
    </row>
    <row r="56" spans="11:11" ht="15.75" customHeight="1" x14ac:dyDescent="0.2">
      <c r="K56" s="19"/>
    </row>
    <row r="57" spans="11:11" ht="15.75" customHeight="1" x14ac:dyDescent="0.2">
      <c r="K57" s="19"/>
    </row>
    <row r="58" spans="11:11" ht="15.75" customHeight="1" x14ac:dyDescent="0.2">
      <c r="K58" s="19"/>
    </row>
    <row r="59" spans="11:11" ht="15.75" customHeight="1" x14ac:dyDescent="0.2">
      <c r="K59" s="19"/>
    </row>
    <row r="60" spans="11:11" ht="15.75" customHeight="1" x14ac:dyDescent="0.2">
      <c r="K60" s="19"/>
    </row>
    <row r="61" spans="11:11" ht="15.75" customHeight="1" x14ac:dyDescent="0.2">
      <c r="K61" s="19"/>
    </row>
    <row r="62" spans="11:11" ht="15.75" customHeight="1" x14ac:dyDescent="0.2">
      <c r="K62" s="19"/>
    </row>
    <row r="63" spans="11:11" ht="15.75" customHeight="1" x14ac:dyDescent="0.2">
      <c r="K63" s="19"/>
    </row>
    <row r="64" spans="11:11" ht="15.75" customHeight="1" x14ac:dyDescent="0.2">
      <c r="K64" s="19"/>
    </row>
    <row r="65" spans="11:11" ht="15.75" customHeight="1" x14ac:dyDescent="0.2">
      <c r="K65" s="19"/>
    </row>
    <row r="66" spans="11:11" ht="15.75" customHeight="1" x14ac:dyDescent="0.2">
      <c r="K66" s="19"/>
    </row>
    <row r="67" spans="11:11" ht="15.75" customHeight="1" x14ac:dyDescent="0.2">
      <c r="K67" s="19"/>
    </row>
    <row r="68" spans="11:11" ht="15.75" customHeight="1" x14ac:dyDescent="0.2">
      <c r="K68" s="19"/>
    </row>
    <row r="69" spans="11:11" ht="15.75" customHeight="1" x14ac:dyDescent="0.2">
      <c r="K69" s="19"/>
    </row>
    <row r="70" spans="11:11" ht="15.75" customHeight="1" x14ac:dyDescent="0.2">
      <c r="K70" s="19"/>
    </row>
    <row r="71" spans="11:11" ht="15.75" customHeight="1" x14ac:dyDescent="0.2">
      <c r="K71" s="19"/>
    </row>
    <row r="72" spans="11:11" ht="15.75" customHeight="1" x14ac:dyDescent="0.2">
      <c r="K72" s="19"/>
    </row>
    <row r="73" spans="11:11" ht="15.75" customHeight="1" x14ac:dyDescent="0.2">
      <c r="K73" s="19"/>
    </row>
    <row r="74" spans="11:11" ht="15.75" customHeight="1" x14ac:dyDescent="0.2">
      <c r="K74" s="19"/>
    </row>
    <row r="75" spans="11:11" ht="15.75" customHeight="1" x14ac:dyDescent="0.2">
      <c r="K75" s="19"/>
    </row>
    <row r="76" spans="11:11" ht="15.75" customHeight="1" x14ac:dyDescent="0.2">
      <c r="K76" s="19"/>
    </row>
    <row r="77" spans="11:11" ht="15.75" customHeight="1" x14ac:dyDescent="0.2">
      <c r="K77" s="19"/>
    </row>
    <row r="78" spans="11:11" ht="15.75" customHeight="1" x14ac:dyDescent="0.2">
      <c r="K78" s="19"/>
    </row>
    <row r="79" spans="11:11" ht="15.75" customHeight="1" x14ac:dyDescent="0.2">
      <c r="K79" s="19"/>
    </row>
    <row r="80" spans="11:11" ht="15.75" customHeight="1" x14ac:dyDescent="0.2">
      <c r="K80" s="19"/>
    </row>
    <row r="81" spans="11:11" ht="15.75" customHeight="1" x14ac:dyDescent="0.2">
      <c r="K81" s="19"/>
    </row>
    <row r="82" spans="11:11" ht="15.75" customHeight="1" x14ac:dyDescent="0.2">
      <c r="K82" s="19"/>
    </row>
    <row r="83" spans="11:11" ht="15.75" customHeight="1" x14ac:dyDescent="0.2">
      <c r="K83" s="19"/>
    </row>
    <row r="84" spans="11:11" ht="15.75" customHeight="1" x14ac:dyDescent="0.2">
      <c r="K84" s="19"/>
    </row>
    <row r="85" spans="11:11" ht="15.75" customHeight="1" x14ac:dyDescent="0.2">
      <c r="K85" s="19"/>
    </row>
    <row r="86" spans="11:11" ht="15.75" customHeight="1" x14ac:dyDescent="0.2">
      <c r="K86" s="19"/>
    </row>
    <row r="87" spans="11:11" ht="15.75" customHeight="1" x14ac:dyDescent="0.2">
      <c r="K87" s="19"/>
    </row>
    <row r="88" spans="11:11" ht="15.75" customHeight="1" x14ac:dyDescent="0.2">
      <c r="K88" s="19"/>
    </row>
    <row r="89" spans="11:11" ht="15.75" customHeight="1" x14ac:dyDescent="0.2">
      <c r="K89" s="19"/>
    </row>
    <row r="90" spans="11:11" ht="15.75" customHeight="1" x14ac:dyDescent="0.2">
      <c r="K90" s="19"/>
    </row>
    <row r="91" spans="11:11" ht="15.75" customHeight="1" x14ac:dyDescent="0.2">
      <c r="K91" s="19"/>
    </row>
    <row r="92" spans="11:11" ht="15.75" customHeight="1" x14ac:dyDescent="0.2">
      <c r="K92" s="19"/>
    </row>
    <row r="93" spans="11:11" ht="15.75" customHeight="1" x14ac:dyDescent="0.2">
      <c r="K93" s="19"/>
    </row>
    <row r="94" spans="11:11" ht="15.75" customHeight="1" x14ac:dyDescent="0.2">
      <c r="K94" s="19"/>
    </row>
    <row r="95" spans="11:11" ht="15.75" customHeight="1" x14ac:dyDescent="0.2">
      <c r="K95" s="19"/>
    </row>
    <row r="96" spans="11:11" ht="15.75" customHeight="1" x14ac:dyDescent="0.2">
      <c r="K96" s="19"/>
    </row>
    <row r="97" spans="11:11" ht="15.75" customHeight="1" x14ac:dyDescent="0.2">
      <c r="K97" s="19"/>
    </row>
    <row r="98" spans="11:11" ht="15.75" customHeight="1" x14ac:dyDescent="0.2">
      <c r="K98" s="19"/>
    </row>
    <row r="99" spans="11:11" ht="15.75" customHeight="1" x14ac:dyDescent="0.2">
      <c r="K99" s="19"/>
    </row>
    <row r="100" spans="11:11" ht="15.75" customHeight="1" x14ac:dyDescent="0.2">
      <c r="K100" s="19"/>
    </row>
    <row r="101" spans="11:11" ht="15.75" customHeight="1" x14ac:dyDescent="0.2"/>
    <row r="102" spans="11:11" ht="15.75" customHeight="1" x14ac:dyDescent="0.2"/>
    <row r="103" spans="11:11" ht="15.75" customHeight="1" x14ac:dyDescent="0.2"/>
    <row r="104" spans="11:11" ht="15.75" customHeight="1" x14ac:dyDescent="0.2"/>
    <row r="105" spans="11:11" ht="15.75" customHeight="1" x14ac:dyDescent="0.2"/>
    <row r="106" spans="11:11" ht="15.75" customHeight="1" x14ac:dyDescent="0.2"/>
    <row r="107" spans="11:11" ht="15.75" customHeight="1" x14ac:dyDescent="0.2"/>
    <row r="108" spans="11:11" ht="15.75" customHeight="1" x14ac:dyDescent="0.2"/>
    <row r="109" spans="11:11" ht="15.75" customHeight="1" x14ac:dyDescent="0.2"/>
    <row r="110" spans="11:11" ht="15.75" customHeight="1" x14ac:dyDescent="0.2"/>
    <row r="111" spans="11:11" ht="15.75" customHeight="1" x14ac:dyDescent="0.2"/>
    <row r="112" spans="1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N1"/>
    <mergeCell ref="A2:A4"/>
    <mergeCell ref="B2:B4"/>
    <mergeCell ref="C2:C4"/>
    <mergeCell ref="D2:E2"/>
    <mergeCell ref="F2:F4"/>
    <mergeCell ref="G2:H2"/>
    <mergeCell ref="N2:N4"/>
    <mergeCell ref="O2:O4"/>
    <mergeCell ref="D3:D4"/>
    <mergeCell ref="E3:E4"/>
    <mergeCell ref="G3:G4"/>
    <mergeCell ref="H3:H4"/>
    <mergeCell ref="I2:I4"/>
    <mergeCell ref="J2:J4"/>
    <mergeCell ref="K2:K4"/>
    <mergeCell ref="L2:L4"/>
    <mergeCell ref="M2:M4"/>
  </mergeCells>
  <pageMargins left="0.7" right="0.7" top="0.75" bottom="0.75" header="0" footer="0"/>
  <pageSetup paperSize="9" orientation="landscape"/>
  <headerFooter>
    <oddFooter>&amp;L&amp;F&amp;F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levels Major</vt:lpstr>
      <vt:lpstr>Water levels 18.01.2018 CE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DBT1</dc:creator>
  <cp:lastModifiedBy>sricharan cholleti</cp:lastModifiedBy>
  <dcterms:created xsi:type="dcterms:W3CDTF">2024-06-17T01:07:54Z</dcterms:created>
  <dcterms:modified xsi:type="dcterms:W3CDTF">2026-06-14T06:53:45Z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ba2e3cc0e8d54fa9af79319d86eb024e</vt:lpwstr>
  </property>
</Properties>
</file>